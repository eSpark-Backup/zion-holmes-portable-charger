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ZionHolmes-PortableCharger\Design Files\Portable-Charger-v1.0\BOM\"/>
    </mc:Choice>
  </mc:AlternateContent>
  <bookViews>
    <workbookView xWindow="28680" yWindow="-120" windowWidth="29040" windowHeight="15840"/>
  </bookViews>
  <sheets>
    <sheet name="2 Boards" sheetId="1" r:id="rId1"/>
    <sheet name="5 Boards" sheetId="2" r:id="rId2"/>
    <sheet name="10 Boards" sheetId="3" r:id="rId3"/>
  </sheets>
  <calcPr calcId="162913"/>
</workbook>
</file>

<file path=xl/calcChain.xml><?xml version="1.0" encoding="utf-8"?>
<calcChain xmlns="http://schemas.openxmlformats.org/spreadsheetml/2006/main">
  <c r="L50" i="1" l="1"/>
  <c r="L51" i="1"/>
  <c r="L52" i="1"/>
  <c r="L53" i="1"/>
  <c r="L54" i="1"/>
  <c r="L55" i="1"/>
  <c r="L50" i="2"/>
  <c r="L51" i="2"/>
  <c r="L52" i="2"/>
  <c r="L53" i="2"/>
  <c r="L54" i="2"/>
  <c r="L55" i="2"/>
  <c r="L50" i="3"/>
  <c r="L51" i="3"/>
  <c r="L52" i="3"/>
  <c r="L53" i="3"/>
  <c r="L54" i="3"/>
  <c r="L55" i="3"/>
  <c r="B55" i="3"/>
  <c r="B54" i="3"/>
  <c r="B53" i="3"/>
  <c r="B52" i="3"/>
  <c r="B51" i="3"/>
  <c r="B50" i="3"/>
  <c r="B55" i="2"/>
  <c r="B54" i="2"/>
  <c r="B53" i="2"/>
  <c r="B52" i="2"/>
  <c r="B51" i="2"/>
  <c r="B50" i="2"/>
  <c r="B55" i="1"/>
  <c r="B54" i="1"/>
  <c r="B53" i="1"/>
  <c r="B52" i="1"/>
  <c r="B51" i="1"/>
  <c r="B50" i="1"/>
  <c r="L49" i="3" l="1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<sst xmlns="http://schemas.openxmlformats.org/spreadsheetml/2006/main" count="1155" uniqueCount="216">
  <si>
    <t>Component list</t>
  </si>
  <si>
    <t>Source Data From:</t>
  </si>
  <si>
    <t>Project:</t>
  </si>
  <si>
    <t>Variant:</t>
  </si>
  <si>
    <t>#</t>
  </si>
  <si>
    <t>Bill of Materials for Project [Portable-Charger-v1.0.PrjPcb] (No PCB Document Selected)</t>
  </si>
  <si>
    <t>Portable-Charger-v1.0.PrjPcb</t>
  </si>
  <si>
    <t>None</t>
  </si>
  <si>
    <t>Item Type</t>
  </si>
  <si>
    <t>Capacitor</t>
  </si>
  <si>
    <t>Diode</t>
  </si>
  <si>
    <t>JST Connector</t>
  </si>
  <si>
    <t>THrough Hole Pads</t>
  </si>
  <si>
    <t>USB Connector</t>
  </si>
  <si>
    <t>Pogo Conector</t>
  </si>
  <si>
    <t>Inductor</t>
  </si>
  <si>
    <t>LED</t>
  </si>
  <si>
    <t>TEST POINT</t>
  </si>
  <si>
    <t>Resistor</t>
  </si>
  <si>
    <t>IC</t>
  </si>
  <si>
    <t>Designator</t>
  </si>
  <si>
    <t>C1, C2, C3</t>
  </si>
  <si>
    <t>C4, C6, C7, C14, C16, C17, C25, C26, C30, C33, C36</t>
  </si>
  <si>
    <t>C5, C15</t>
  </si>
  <si>
    <t>C8, C9, C10, C11, C12, C13, C19, C28, C29</t>
  </si>
  <si>
    <t>C18</t>
  </si>
  <si>
    <t>C20, C21, C27</t>
  </si>
  <si>
    <t>C22</t>
  </si>
  <si>
    <t>C23</t>
  </si>
  <si>
    <t>C24</t>
  </si>
  <si>
    <t>C31</t>
  </si>
  <si>
    <t>C32</t>
  </si>
  <si>
    <t>C34, C35</t>
  </si>
  <si>
    <t>D1</t>
  </si>
  <si>
    <t>J1</t>
  </si>
  <si>
    <t>J2, J6</t>
  </si>
  <si>
    <t>J3</t>
  </si>
  <si>
    <t>J4</t>
  </si>
  <si>
    <t>J5</t>
  </si>
  <si>
    <t>J7</t>
  </si>
  <si>
    <t>L1</t>
  </si>
  <si>
    <t>LED1, LED4, LED6</t>
  </si>
  <si>
    <t>LED2</t>
  </si>
  <si>
    <t>LED3, LED5</t>
  </si>
  <si>
    <t>P1</t>
  </si>
  <si>
    <t>R1</t>
  </si>
  <si>
    <t>R2, R3, R11</t>
  </si>
  <si>
    <t>R4</t>
  </si>
  <si>
    <t>R5, R12, R13</t>
  </si>
  <si>
    <t>R6, R7</t>
  </si>
  <si>
    <t>R8</t>
  </si>
  <si>
    <t>R9, R14</t>
  </si>
  <si>
    <t>R10</t>
  </si>
  <si>
    <t>R15</t>
  </si>
  <si>
    <t>R16</t>
  </si>
  <si>
    <t>SW1</t>
  </si>
  <si>
    <t>U1</t>
  </si>
  <si>
    <t>U2</t>
  </si>
  <si>
    <t>U3, U4</t>
  </si>
  <si>
    <t>U5</t>
  </si>
  <si>
    <t>U6</t>
  </si>
  <si>
    <t>Description</t>
  </si>
  <si>
    <t>CAP CER 330PF 50V C0G/NPO 0603</t>
  </si>
  <si>
    <t>CAP CER 0.1UF 50V X5R 0603</t>
  </si>
  <si>
    <t>CAP CER 10UF 16V X5R 0603</t>
  </si>
  <si>
    <t>CAP CER 22UF 25V X5R 0805</t>
  </si>
  <si>
    <t>CAP CER 1000PF 25V X7R 0402</t>
  </si>
  <si>
    <t>CAP CER 0.015UF 50V X7R 0603</t>
  </si>
  <si>
    <t>400nF ±5% 100V Plugin,P=7.5mm Polypropylene Film Capacitors (CBB) ROHS</t>
  </si>
  <si>
    <t>150nF ±5% 100V Plugin,P=5mm Polypropylene Film Capacitors (CBB) ROHS</t>
  </si>
  <si>
    <t>250nF ±5% 100V Plugin,P=7.5mm Polypropylene Film Capacitors (CBB) ROHS</t>
  </si>
  <si>
    <t>CAP CER 2200PF 50V X7R 0603</t>
  </si>
  <si>
    <t>CAP CER 2.2UF 25V X5R 0603</t>
  </si>
  <si>
    <t>CAP CER 22UF 10V X5R 0603</t>
  </si>
  <si>
    <t>DIODE SCHOTTKY 40V 1A SOD123</t>
  </si>
  <si>
    <t>CONN HEADER VERT 2POS 2.5MM</t>
  </si>
  <si>
    <t>Wire Connecting Pad</t>
  </si>
  <si>
    <t>250mA 1 16 Female Type-C SMD USB Connectors ROHS</t>
  </si>
  <si>
    <t>4pin spring loaded right angle bended pogo pin connectorPopular</t>
  </si>
  <si>
    <t>14A 2.2uH ±20% SMD,10.1x10.1mm Power Inductors ROHS</t>
  </si>
  <si>
    <t>Emerald 0603 Light Emitting Diodes (LED) ROHS</t>
  </si>
  <si>
    <t>0603(H=0.4mm) λD=600.5~612.5nm VR=5V VF=1.7V~2.2V IF=25mA PD=60mW</t>
  </si>
  <si>
    <t>0603 Light Emitting Diodes (LED) ROHS</t>
  </si>
  <si>
    <t>Test Point ON</t>
  </si>
  <si>
    <t>1W 5mΩ ±1% 1206 Current Sense Resistors/Shunt Resistors ROHS</t>
  </si>
  <si>
    <t>RES SMD 10K OHM 0.1% 1/10W 0603</t>
  </si>
  <si>
    <t>RES 20K OHM 1% 1/10W 0603</t>
  </si>
  <si>
    <t>RES SMD 1K OHM 1% 1/10W 0603</t>
  </si>
  <si>
    <t>RES 100K OHM 5% 1/10W 0603</t>
  </si>
  <si>
    <t>RES SMD 3.3K OHM 1% 1/10W 0603</t>
  </si>
  <si>
    <t>RES SMD 100K OHM 0.1% 1/10W 0603</t>
  </si>
  <si>
    <t>RES SMD 33K OHM 0.1% 1/10W 0603</t>
  </si>
  <si>
    <t>RES 0.02 OHM 1% 1/2W 0603</t>
  </si>
  <si>
    <t>RES SMD 1K 0.1W 0603  75 V, Thick Film</t>
  </si>
  <si>
    <t>Tactile Switches SMT Top Push 0.9mm 7N Trav 100m Yellow</t>
  </si>
  <si>
    <t>PMIC 22.5W Power Bank</t>
  </si>
  <si>
    <t>USB 2.0 5A 1 235℃ Sink board 4 Female -25℃~+85℃ Gold Copper Alloy Type-A Plugin USB Connectors ROHS</t>
  </si>
  <si>
    <t>20V 6A 22mΩ@4.5V,4.5A 2W 2PCSNChannel(Common Drain) SOT-23-6 MOSFETs ROHS</t>
  </si>
  <si>
    <t>QFN-32-EP(5x5) Wireless Charge-Discharge ICs ROHS</t>
  </si>
  <si>
    <t>One Cell Lithium-ion/Polymer Battery Protection IC</t>
  </si>
  <si>
    <t>Footprint</t>
  </si>
  <si>
    <t>Cap-0603</t>
  </si>
  <si>
    <t>Cap-0805</t>
  </si>
  <si>
    <t>Cap-0402</t>
  </si>
  <si>
    <t>MPP404J2A0702</t>
  </si>
  <si>
    <t>PE154J2A0502</t>
  </si>
  <si>
    <t>MPP254J100V82CB0035</t>
  </si>
  <si>
    <t>CAP-0603</t>
  </si>
  <si>
    <t>SOD-123</t>
  </si>
  <si>
    <t>2P THrough Hole Pads</t>
  </si>
  <si>
    <t>4 PIN Right Angle Pogo Connector</t>
  </si>
  <si>
    <t>YSPI1040-2R2M</t>
  </si>
  <si>
    <t>LED-0603</t>
  </si>
  <si>
    <t>Res-1206</t>
  </si>
  <si>
    <t>Res-0603</t>
  </si>
  <si>
    <t>48-QFN (6x6)_</t>
  </si>
  <si>
    <t>U224-051N-3GRA035</t>
  </si>
  <si>
    <t>SOT-23-6</t>
  </si>
  <si>
    <t>32-QFN</t>
  </si>
  <si>
    <t>8-SO-EP_</t>
  </si>
  <si>
    <t>Manufacturer Part Number</t>
  </si>
  <si>
    <t>CC0603JRNPO9BN331</t>
  </si>
  <si>
    <t>CC0603KRX5R9BB104</t>
  </si>
  <si>
    <t>CC0603KRX5R7BB106</t>
  </si>
  <si>
    <t>CC0805MKX5R8BB226</t>
  </si>
  <si>
    <t>CC0402KRX7R8BB102</t>
  </si>
  <si>
    <t>CC0603JRX7R9BB153</t>
  </si>
  <si>
    <t>CC0603KRX7R9BB222</t>
  </si>
  <si>
    <t>CC0603KRX5R8BB225</t>
  </si>
  <si>
    <t>CC0603MRX5R6BB226</t>
  </si>
  <si>
    <t>1N5819HW-7-F</t>
  </si>
  <si>
    <t>B2B-EH-A(LF)(SN)</t>
  </si>
  <si>
    <t>TYPE-C-31-M-12</t>
  </si>
  <si>
    <t>NCD0603G2</t>
  </si>
  <si>
    <t>19-217/S2C-AQ1R1B/3T</t>
  </si>
  <si>
    <t>NCD0603R3</t>
  </si>
  <si>
    <t>CUM1206-15FR005</t>
  </si>
  <si>
    <t>RT0603BRD0710KL</t>
  </si>
  <si>
    <t>RC0603FR-0720KL</t>
  </si>
  <si>
    <t>RC0603FR-071KL</t>
  </si>
  <si>
    <t>RC0603JR-07100KL</t>
  </si>
  <si>
    <t>RC0603FR-073K3L</t>
  </si>
  <si>
    <t>RT0603BRD07100KL</t>
  </si>
  <si>
    <t>RT0603BRD0733KL</t>
  </si>
  <si>
    <t>PE0603FRF570R02L</t>
  </si>
  <si>
    <t>RC0603JR-071KL</t>
  </si>
  <si>
    <t>SKSTACE010</t>
  </si>
  <si>
    <t>SW6208</t>
  </si>
  <si>
    <t>.8205A</t>
  </si>
  <si>
    <t>IP6826</t>
  </si>
  <si>
    <t>XB8889A</t>
  </si>
  <si>
    <t>Manufacturer</t>
  </si>
  <si>
    <t>Yageo</t>
  </si>
  <si>
    <t>KYET</t>
  </si>
  <si>
    <t>KNSCHA</t>
  </si>
  <si>
    <t>Diodes</t>
  </si>
  <si>
    <t>JST</t>
  </si>
  <si>
    <t>Korean Hroparts Elec</t>
  </si>
  <si>
    <t>YJYCOIN</t>
  </si>
  <si>
    <t>Foshan NationStar Optoelectronics</t>
  </si>
  <si>
    <t>Everlight</t>
  </si>
  <si>
    <t>FORT</t>
  </si>
  <si>
    <t>Yageo Phycomp</t>
  </si>
  <si>
    <t>Alps Electric</t>
  </si>
  <si>
    <t>ZHUHAI ISMARTWARE TECHNOLOGYCO., LTD.</t>
  </si>
  <si>
    <t>XKB Connectivity</t>
  </si>
  <si>
    <t>Shenzhen Fuman Elec</t>
  </si>
  <si>
    <t>INJOINIC</t>
  </si>
  <si>
    <t>Xysemi</t>
  </si>
  <si>
    <t>330pF</t>
  </si>
  <si>
    <t>100nF</t>
  </si>
  <si>
    <t>10uF</t>
  </si>
  <si>
    <t>22uF</t>
  </si>
  <si>
    <t>1nF</t>
  </si>
  <si>
    <t>15nF</t>
  </si>
  <si>
    <t>400nF</t>
  </si>
  <si>
    <t>150nF</t>
  </si>
  <si>
    <t>250nF</t>
  </si>
  <si>
    <t>2.2nF</t>
  </si>
  <si>
    <t>2.2uF</t>
  </si>
  <si>
    <t>2.2uH</t>
  </si>
  <si>
    <t>5mR</t>
  </si>
  <si>
    <t>10K</t>
  </si>
  <si>
    <t>20K</t>
  </si>
  <si>
    <t>1K</t>
  </si>
  <si>
    <t>100K</t>
  </si>
  <si>
    <t>3.3K</t>
  </si>
  <si>
    <t>33K</t>
  </si>
  <si>
    <t>20mR</t>
  </si>
  <si>
    <t>Quantity</t>
  </si>
  <si>
    <t>Custom</t>
  </si>
  <si>
    <t>-</t>
  </si>
  <si>
    <t>Switch</t>
  </si>
  <si>
    <t>Alternate Part Number</t>
  </si>
  <si>
    <t>CC0603KRX7R9BB104</t>
  </si>
  <si>
    <t>Value</t>
  </si>
  <si>
    <t>Quantity (2 Boards)</t>
  </si>
  <si>
    <t>Remarks</t>
  </si>
  <si>
    <t>Quantity (5 Boards)</t>
  </si>
  <si>
    <t>Bill of Materials for Project [Portable-Charger-v1.0.]</t>
  </si>
  <si>
    <t>Portable-Charger-v1.0.]</t>
  </si>
  <si>
    <t>Quantity (10 Boards)</t>
  </si>
  <si>
    <t xml:space="preserve"> Remarks</t>
  </si>
  <si>
    <t>Peripheral</t>
  </si>
  <si>
    <t>3 3.7V 10000mAh Rechargeable Lithium Polymer Battery For DVD GPS Digital Camera PDA E-book Tablet Power Bank Lipo Cells</t>
  </si>
  <si>
    <t>Battery</t>
  </si>
  <si>
    <t>Coil</t>
  </si>
  <si>
    <t>6.3uH with 400nF</t>
  </si>
  <si>
    <t>YX-A11-R500800-R0845</t>
  </si>
  <si>
    <t>13uH with 150nF</t>
  </si>
  <si>
    <t>10uH with 250uF</t>
  </si>
  <si>
    <t>Power Supply</t>
  </si>
  <si>
    <t>Meanwell Switching Power Supply LRS-200-5V 12V 24V 36V 48V MEANWELL AC/DC 200W Single Output</t>
  </si>
  <si>
    <t>NTC Thermistor</t>
  </si>
  <si>
    <t>Plugin NTC Thermistors ROHS</t>
  </si>
  <si>
    <t>MT52B104F3950F01000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</si>
</sst>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2"/>
      <color indexed="13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21" fillId="3" borderId="12" xfId="0" applyFont="1" applyFill="1" applyBorder="1" applyAlignment="1">
      <alignment vertical="center"/>
    </xf>
    <xf numFmtId="0" fontId="22" fillId="2" borderId="15" xfId="0" applyFont="1" applyFill="1" applyBorder="1" applyAlignment="1">
      <alignment horizont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44725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9526</xdr:colOff>
      <xdr:row>2</xdr:row>
      <xdr:rowOff>10417</xdr:rowOff>
    </xdr:from>
    <xdr:to>
      <xdr:col>12</xdr:col>
      <xdr:colOff>1724026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49176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7"/>
  <sheetViews>
    <sheetView tabSelected="1" topLeftCell="A37" workbookViewId="0">
      <selection activeCell="E63" sqref="E6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7" bestFit="1" customWidth="1"/>
    <col min="8" max="8" width="21.5703125" bestFit="1" customWidth="1"/>
    <col min="9" max="9" width="18.1406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71"/>
      <c r="K1" s="71"/>
      <c r="L1" s="71"/>
      <c r="M1" s="71"/>
    </row>
    <row r="2" spans="1:13" ht="32.25" thickBot="1" x14ac:dyDescent="0.3">
      <c r="A2" s="1"/>
      <c r="B2" s="20"/>
      <c r="C2" s="40"/>
      <c r="D2" s="10" t="s">
        <v>0</v>
      </c>
      <c r="E2" s="10"/>
      <c r="F2" s="47" t="s">
        <v>5</v>
      </c>
      <c r="G2" s="11"/>
      <c r="H2" s="11"/>
      <c r="I2" s="3"/>
      <c r="J2" s="3"/>
      <c r="K2" s="3"/>
      <c r="L2" s="3"/>
      <c r="M2" s="37"/>
    </row>
    <row r="3" spans="1:13" x14ac:dyDescent="0.25">
      <c r="A3" s="1"/>
      <c r="B3" s="21"/>
      <c r="C3" s="41"/>
      <c r="D3" s="12" t="s">
        <v>1</v>
      </c>
      <c r="E3" s="12"/>
      <c r="F3" s="48" t="s">
        <v>6</v>
      </c>
      <c r="G3" s="12"/>
      <c r="H3" s="12"/>
      <c r="I3" s="4"/>
      <c r="J3" s="4"/>
      <c r="K3" s="4"/>
      <c r="L3" s="4"/>
      <c r="M3" s="72"/>
    </row>
    <row r="4" spans="1:13" x14ac:dyDescent="0.25">
      <c r="A4" s="1"/>
      <c r="B4" s="21"/>
      <c r="C4" s="41"/>
      <c r="D4" s="12" t="s">
        <v>2</v>
      </c>
      <c r="E4" s="12"/>
      <c r="F4" s="49" t="s">
        <v>6</v>
      </c>
      <c r="G4" s="13"/>
      <c r="H4" s="13"/>
      <c r="I4" s="6"/>
      <c r="J4" s="6"/>
      <c r="K4" s="6"/>
      <c r="L4" s="6"/>
      <c r="M4" s="73"/>
    </row>
    <row r="5" spans="1:13" x14ac:dyDescent="0.25">
      <c r="A5" s="1"/>
      <c r="B5" s="21"/>
      <c r="C5" s="41"/>
      <c r="D5" s="12" t="s">
        <v>3</v>
      </c>
      <c r="E5" s="12"/>
      <c r="F5" s="50" t="s">
        <v>7</v>
      </c>
      <c r="G5" s="14"/>
      <c r="H5" s="14"/>
      <c r="I5" s="5"/>
      <c r="J5" s="5"/>
      <c r="K5" s="5"/>
      <c r="L5" s="5"/>
      <c r="M5" s="73"/>
    </row>
    <row r="6" spans="1:13" x14ac:dyDescent="0.25">
      <c r="A6" s="1"/>
      <c r="B6" s="22"/>
      <c r="C6" s="42"/>
      <c r="D6" s="15"/>
      <c r="E6" s="15"/>
      <c r="F6" s="16"/>
      <c r="G6" s="14"/>
      <c r="H6" s="14"/>
      <c r="I6" s="5"/>
      <c r="J6" s="5"/>
      <c r="K6" s="5"/>
      <c r="L6" s="5"/>
      <c r="M6" s="73"/>
    </row>
    <row r="7" spans="1:13" x14ac:dyDescent="0.25">
      <c r="A7" s="1"/>
      <c r="B7" s="23"/>
      <c r="C7" s="43"/>
      <c r="D7" s="17"/>
      <c r="E7" s="17"/>
      <c r="F7" s="18"/>
      <c r="G7" s="17"/>
      <c r="H7" s="17"/>
      <c r="I7" s="7"/>
      <c r="J7" s="7"/>
      <c r="K7" s="7"/>
      <c r="L7" s="7"/>
      <c r="M7" s="73"/>
    </row>
    <row r="8" spans="1:13" ht="15.75" thickBot="1" x14ac:dyDescent="0.3">
      <c r="A8" s="1"/>
      <c r="B8" s="26"/>
      <c r="C8" s="44"/>
      <c r="D8" s="27"/>
      <c r="E8" s="27"/>
      <c r="F8" s="28"/>
      <c r="G8" s="17"/>
      <c r="H8" s="17"/>
      <c r="I8" s="7"/>
      <c r="J8" s="7"/>
      <c r="K8" s="7"/>
      <c r="L8" s="7"/>
      <c r="M8" s="73"/>
    </row>
    <row r="9" spans="1:13" ht="15.75" thickBot="1" x14ac:dyDescent="0.3">
      <c r="A9" s="1"/>
      <c r="B9" s="29" t="s">
        <v>4</v>
      </c>
      <c r="C9" s="29" t="s">
        <v>8</v>
      </c>
      <c r="D9" s="29" t="s">
        <v>20</v>
      </c>
      <c r="E9" s="29" t="s">
        <v>61</v>
      </c>
      <c r="F9" s="29" t="s">
        <v>100</v>
      </c>
      <c r="G9" s="29" t="s">
        <v>120</v>
      </c>
      <c r="H9" s="29" t="s">
        <v>193</v>
      </c>
      <c r="I9" s="29" t="s">
        <v>151</v>
      </c>
      <c r="J9" s="29" t="s">
        <v>195</v>
      </c>
      <c r="K9" s="29" t="s">
        <v>189</v>
      </c>
      <c r="L9" s="29" t="s">
        <v>196</v>
      </c>
      <c r="M9" s="29" t="s">
        <v>197</v>
      </c>
    </row>
    <row r="10" spans="1:13" x14ac:dyDescent="0.25">
      <c r="A10" s="1"/>
      <c r="B10" s="51">
        <f>ROW(B10) - ROW($B$9)</f>
        <v>1</v>
      </c>
      <c r="C10" s="52" t="s">
        <v>9</v>
      </c>
      <c r="D10" s="35" t="s">
        <v>21</v>
      </c>
      <c r="E10" s="35" t="s">
        <v>62</v>
      </c>
      <c r="F10" s="35" t="s">
        <v>101</v>
      </c>
      <c r="G10" s="35" t="s">
        <v>121</v>
      </c>
      <c r="H10" s="35" t="s">
        <v>191</v>
      </c>
      <c r="I10" s="35" t="s">
        <v>152</v>
      </c>
      <c r="J10" s="35" t="s">
        <v>169</v>
      </c>
      <c r="K10" s="35">
        <v>3</v>
      </c>
      <c r="L10" s="35">
        <f>K10*2</f>
        <v>6</v>
      </c>
      <c r="M10" s="35"/>
    </row>
    <row r="11" spans="1:13" ht="24" x14ac:dyDescent="0.25">
      <c r="A11" s="1"/>
      <c r="B11" s="53">
        <f t="shared" ref="B11:B55" si="0">ROW(B11) - ROW($B$9)</f>
        <v>2</v>
      </c>
      <c r="C11" s="54" t="s">
        <v>9</v>
      </c>
      <c r="D11" s="36" t="s">
        <v>22</v>
      </c>
      <c r="E11" s="36" t="s">
        <v>63</v>
      </c>
      <c r="F11" s="36" t="s">
        <v>101</v>
      </c>
      <c r="G11" s="55" t="s">
        <v>122</v>
      </c>
      <c r="H11" s="36" t="s">
        <v>194</v>
      </c>
      <c r="I11" s="36" t="s">
        <v>152</v>
      </c>
      <c r="J11" s="36" t="s">
        <v>170</v>
      </c>
      <c r="K11" s="36">
        <v>11</v>
      </c>
      <c r="L11" s="35">
        <f t="shared" ref="L11:L55" si="1">K11*2</f>
        <v>22</v>
      </c>
      <c r="M11" s="36"/>
    </row>
    <row r="12" spans="1:13" x14ac:dyDescent="0.25">
      <c r="A12" s="1"/>
      <c r="B12" s="51">
        <f>ROW(B12) - ROW($B$9)</f>
        <v>3</v>
      </c>
      <c r="C12" s="52" t="s">
        <v>9</v>
      </c>
      <c r="D12" s="35" t="s">
        <v>23</v>
      </c>
      <c r="E12" s="35" t="s">
        <v>64</v>
      </c>
      <c r="F12" s="35" t="s">
        <v>101</v>
      </c>
      <c r="G12" s="35" t="s">
        <v>123</v>
      </c>
      <c r="H12" s="35" t="s">
        <v>191</v>
      </c>
      <c r="I12" s="35" t="s">
        <v>152</v>
      </c>
      <c r="J12" s="35" t="s">
        <v>171</v>
      </c>
      <c r="K12" s="35">
        <v>2</v>
      </c>
      <c r="L12" s="35">
        <f t="shared" si="1"/>
        <v>4</v>
      </c>
      <c r="M12" s="35"/>
    </row>
    <row r="13" spans="1:13" x14ac:dyDescent="0.25">
      <c r="A13" s="1"/>
      <c r="B13" s="53">
        <f t="shared" si="0"/>
        <v>4</v>
      </c>
      <c r="C13" s="54" t="s">
        <v>9</v>
      </c>
      <c r="D13" s="36" t="s">
        <v>24</v>
      </c>
      <c r="E13" s="36" t="s">
        <v>65</v>
      </c>
      <c r="F13" s="36" t="s">
        <v>102</v>
      </c>
      <c r="G13" s="36" t="s">
        <v>124</v>
      </c>
      <c r="H13" s="36" t="s">
        <v>191</v>
      </c>
      <c r="I13" s="36" t="s">
        <v>152</v>
      </c>
      <c r="J13" s="36" t="s">
        <v>172</v>
      </c>
      <c r="K13" s="36">
        <v>9</v>
      </c>
      <c r="L13" s="35">
        <f t="shared" si="1"/>
        <v>18</v>
      </c>
      <c r="M13" s="36"/>
    </row>
    <row r="14" spans="1:13" x14ac:dyDescent="0.25">
      <c r="A14" s="1"/>
      <c r="B14" s="51">
        <f>ROW(B14) - ROW($B$9)</f>
        <v>5</v>
      </c>
      <c r="C14" s="52" t="s">
        <v>9</v>
      </c>
      <c r="D14" s="35" t="s">
        <v>25</v>
      </c>
      <c r="E14" s="35" t="s">
        <v>66</v>
      </c>
      <c r="F14" s="35" t="s">
        <v>103</v>
      </c>
      <c r="G14" s="35" t="s">
        <v>125</v>
      </c>
      <c r="H14" s="36" t="s">
        <v>191</v>
      </c>
      <c r="I14" s="35" t="s">
        <v>152</v>
      </c>
      <c r="J14" s="35" t="s">
        <v>173</v>
      </c>
      <c r="K14" s="35">
        <v>1</v>
      </c>
      <c r="L14" s="35">
        <f t="shared" si="1"/>
        <v>2</v>
      </c>
      <c r="M14" s="35"/>
    </row>
    <row r="15" spans="1:13" x14ac:dyDescent="0.25">
      <c r="A15" s="1"/>
      <c r="B15" s="53">
        <f t="shared" si="0"/>
        <v>6</v>
      </c>
      <c r="C15" s="54" t="s">
        <v>9</v>
      </c>
      <c r="D15" s="36" t="s">
        <v>26</v>
      </c>
      <c r="E15" s="36" t="s">
        <v>67</v>
      </c>
      <c r="F15" s="36" t="s">
        <v>101</v>
      </c>
      <c r="G15" s="36" t="s">
        <v>126</v>
      </c>
      <c r="H15" s="35" t="s">
        <v>191</v>
      </c>
      <c r="I15" s="36" t="s">
        <v>152</v>
      </c>
      <c r="J15" s="36" t="s">
        <v>174</v>
      </c>
      <c r="K15" s="36">
        <v>3</v>
      </c>
      <c r="L15" s="35">
        <f t="shared" si="1"/>
        <v>6</v>
      </c>
      <c r="M15" s="36"/>
    </row>
    <row r="16" spans="1:13" ht="36" x14ac:dyDescent="0.25">
      <c r="A16" s="1"/>
      <c r="B16" s="51">
        <f>ROW(B16) - ROW($B$9)</f>
        <v>7</v>
      </c>
      <c r="C16" s="52" t="s">
        <v>9</v>
      </c>
      <c r="D16" s="35" t="s">
        <v>27</v>
      </c>
      <c r="E16" s="35" t="s">
        <v>68</v>
      </c>
      <c r="F16" s="35" t="s">
        <v>190</v>
      </c>
      <c r="G16" s="35" t="s">
        <v>104</v>
      </c>
      <c r="H16" s="36" t="s">
        <v>191</v>
      </c>
      <c r="I16" s="35" t="s">
        <v>153</v>
      </c>
      <c r="J16" s="35" t="s">
        <v>175</v>
      </c>
      <c r="K16" s="35">
        <v>1</v>
      </c>
      <c r="L16" s="35">
        <f t="shared" si="1"/>
        <v>2</v>
      </c>
      <c r="M16" s="35"/>
    </row>
    <row r="17" spans="1:13" ht="36" x14ac:dyDescent="0.25">
      <c r="A17" s="1"/>
      <c r="B17" s="53">
        <f t="shared" si="0"/>
        <v>8</v>
      </c>
      <c r="C17" s="54" t="s">
        <v>9</v>
      </c>
      <c r="D17" s="36" t="s">
        <v>28</v>
      </c>
      <c r="E17" s="36" t="s">
        <v>69</v>
      </c>
      <c r="F17" s="35" t="s">
        <v>190</v>
      </c>
      <c r="G17" s="36" t="s">
        <v>105</v>
      </c>
      <c r="H17" s="36" t="s">
        <v>191</v>
      </c>
      <c r="I17" s="36" t="s">
        <v>153</v>
      </c>
      <c r="J17" s="36" t="s">
        <v>176</v>
      </c>
      <c r="K17" s="36">
        <v>1</v>
      </c>
      <c r="L17" s="35">
        <f t="shared" si="1"/>
        <v>2</v>
      </c>
      <c r="M17" s="36"/>
    </row>
    <row r="18" spans="1:13" ht="36" x14ac:dyDescent="0.25">
      <c r="A18" s="1"/>
      <c r="B18" s="51">
        <f>ROW(B18) - ROW($B$9)</f>
        <v>9</v>
      </c>
      <c r="C18" s="52" t="s">
        <v>9</v>
      </c>
      <c r="D18" s="35" t="s">
        <v>29</v>
      </c>
      <c r="E18" s="35" t="s">
        <v>70</v>
      </c>
      <c r="F18" s="35" t="s">
        <v>190</v>
      </c>
      <c r="G18" s="35" t="s">
        <v>106</v>
      </c>
      <c r="H18" s="35" t="s">
        <v>191</v>
      </c>
      <c r="I18" s="35" t="s">
        <v>154</v>
      </c>
      <c r="J18" s="35" t="s">
        <v>177</v>
      </c>
      <c r="K18" s="35">
        <v>1</v>
      </c>
      <c r="L18" s="35">
        <f t="shared" si="1"/>
        <v>2</v>
      </c>
      <c r="M18" s="35"/>
    </row>
    <row r="19" spans="1:13" x14ac:dyDescent="0.25">
      <c r="A19" s="1"/>
      <c r="B19" s="53">
        <f t="shared" si="0"/>
        <v>10</v>
      </c>
      <c r="C19" s="52" t="s">
        <v>9</v>
      </c>
      <c r="D19" s="36" t="s">
        <v>30</v>
      </c>
      <c r="E19" s="36" t="s">
        <v>71</v>
      </c>
      <c r="F19" s="36" t="s">
        <v>101</v>
      </c>
      <c r="G19" s="36" t="s">
        <v>127</v>
      </c>
      <c r="H19" s="36" t="s">
        <v>191</v>
      </c>
      <c r="I19" s="36" t="s">
        <v>152</v>
      </c>
      <c r="J19" s="36" t="s">
        <v>178</v>
      </c>
      <c r="K19" s="36">
        <v>1</v>
      </c>
      <c r="L19" s="35">
        <f t="shared" si="1"/>
        <v>2</v>
      </c>
      <c r="M19" s="36"/>
    </row>
    <row r="20" spans="1:13" x14ac:dyDescent="0.25">
      <c r="A20" s="1"/>
      <c r="B20" s="51">
        <f>ROW(B20) - ROW($B$9)</f>
        <v>11</v>
      </c>
      <c r="C20" s="52" t="s">
        <v>9</v>
      </c>
      <c r="D20" s="35" t="s">
        <v>31</v>
      </c>
      <c r="E20" s="35" t="s">
        <v>72</v>
      </c>
      <c r="F20" s="35" t="s">
        <v>107</v>
      </c>
      <c r="G20" s="35" t="s">
        <v>128</v>
      </c>
      <c r="H20" s="36" t="s">
        <v>191</v>
      </c>
      <c r="I20" s="35" t="s">
        <v>152</v>
      </c>
      <c r="J20" s="35" t="s">
        <v>179</v>
      </c>
      <c r="K20" s="35">
        <v>1</v>
      </c>
      <c r="L20" s="35">
        <f t="shared" si="1"/>
        <v>2</v>
      </c>
      <c r="M20" s="35"/>
    </row>
    <row r="21" spans="1:13" x14ac:dyDescent="0.25">
      <c r="A21" s="1"/>
      <c r="B21" s="53">
        <f t="shared" si="0"/>
        <v>12</v>
      </c>
      <c r="C21" s="54" t="s">
        <v>9</v>
      </c>
      <c r="D21" s="36" t="s">
        <v>32</v>
      </c>
      <c r="E21" s="36" t="s">
        <v>73</v>
      </c>
      <c r="F21" s="36" t="s">
        <v>101</v>
      </c>
      <c r="G21" s="36" t="s">
        <v>129</v>
      </c>
      <c r="H21" s="35" t="s">
        <v>191</v>
      </c>
      <c r="I21" s="36" t="s">
        <v>152</v>
      </c>
      <c r="J21" s="36" t="s">
        <v>172</v>
      </c>
      <c r="K21" s="36">
        <v>2</v>
      </c>
      <c r="L21" s="35">
        <f t="shared" si="1"/>
        <v>4</v>
      </c>
      <c r="M21" s="36"/>
    </row>
    <row r="22" spans="1:13" x14ac:dyDescent="0.25">
      <c r="A22" s="1"/>
      <c r="B22" s="51">
        <f>ROW(B22) - ROW($B$9)</f>
        <v>13</v>
      </c>
      <c r="C22" s="52" t="s">
        <v>10</v>
      </c>
      <c r="D22" s="35" t="s">
        <v>33</v>
      </c>
      <c r="E22" s="35" t="s">
        <v>74</v>
      </c>
      <c r="F22" s="35" t="s">
        <v>108</v>
      </c>
      <c r="G22" s="35" t="s">
        <v>130</v>
      </c>
      <c r="H22" s="36" t="s">
        <v>191</v>
      </c>
      <c r="I22" s="35" t="s">
        <v>155</v>
      </c>
      <c r="J22" s="35" t="s">
        <v>191</v>
      </c>
      <c r="K22" s="35">
        <v>1</v>
      </c>
      <c r="L22" s="35">
        <f t="shared" si="1"/>
        <v>2</v>
      </c>
      <c r="M22" s="35"/>
    </row>
    <row r="23" spans="1:13" x14ac:dyDescent="0.25">
      <c r="A23" s="1"/>
      <c r="B23" s="53">
        <f t="shared" si="0"/>
        <v>14</v>
      </c>
      <c r="C23" s="54" t="s">
        <v>11</v>
      </c>
      <c r="D23" s="36" t="s">
        <v>34</v>
      </c>
      <c r="E23" s="36" t="s">
        <v>75</v>
      </c>
      <c r="F23" s="35" t="s">
        <v>190</v>
      </c>
      <c r="G23" s="36" t="s">
        <v>131</v>
      </c>
      <c r="H23" s="36" t="s">
        <v>191</v>
      </c>
      <c r="I23" s="36" t="s">
        <v>156</v>
      </c>
      <c r="J23" s="36" t="s">
        <v>191</v>
      </c>
      <c r="K23" s="36">
        <v>1</v>
      </c>
      <c r="L23" s="35">
        <f t="shared" si="1"/>
        <v>2</v>
      </c>
      <c r="M23" s="36"/>
    </row>
    <row r="24" spans="1:13" x14ac:dyDescent="0.25">
      <c r="A24" s="1"/>
      <c r="B24" s="51">
        <f>ROW(B24) - ROW($B$9)</f>
        <v>15</v>
      </c>
      <c r="C24" s="56" t="s">
        <v>12</v>
      </c>
      <c r="D24" s="55" t="s">
        <v>35</v>
      </c>
      <c r="E24" s="55" t="s">
        <v>76</v>
      </c>
      <c r="F24" s="57" t="s">
        <v>190</v>
      </c>
      <c r="G24" s="55" t="s">
        <v>109</v>
      </c>
      <c r="H24" s="57" t="s">
        <v>191</v>
      </c>
      <c r="I24" s="55"/>
      <c r="J24" s="57" t="s">
        <v>191</v>
      </c>
      <c r="K24" s="57">
        <v>2</v>
      </c>
      <c r="L24" s="35">
        <f t="shared" si="1"/>
        <v>4</v>
      </c>
      <c r="M24" s="35"/>
    </row>
    <row r="25" spans="1:13" ht="24" x14ac:dyDescent="0.25">
      <c r="A25" s="1"/>
      <c r="B25" s="53">
        <f t="shared" si="0"/>
        <v>16</v>
      </c>
      <c r="C25" s="54" t="s">
        <v>13</v>
      </c>
      <c r="D25" s="36" t="s">
        <v>36</v>
      </c>
      <c r="E25" s="36" t="s">
        <v>77</v>
      </c>
      <c r="F25" s="35" t="s">
        <v>190</v>
      </c>
      <c r="G25" s="36" t="s">
        <v>132</v>
      </c>
      <c r="H25" s="36" t="s">
        <v>191</v>
      </c>
      <c r="I25" s="36" t="s">
        <v>157</v>
      </c>
      <c r="J25" s="36" t="s">
        <v>191</v>
      </c>
      <c r="K25" s="36">
        <v>1</v>
      </c>
      <c r="L25" s="35">
        <f t="shared" si="1"/>
        <v>2</v>
      </c>
      <c r="M25" s="36"/>
    </row>
    <row r="26" spans="1:13" ht="24" x14ac:dyDescent="0.25">
      <c r="A26" s="1"/>
      <c r="B26" s="51">
        <f>ROW(B26) - ROW($B$9)</f>
        <v>17</v>
      </c>
      <c r="C26" s="52" t="s">
        <v>14</v>
      </c>
      <c r="D26" s="35" t="s">
        <v>37</v>
      </c>
      <c r="E26" s="35" t="s">
        <v>78</v>
      </c>
      <c r="F26" s="35" t="s">
        <v>190</v>
      </c>
      <c r="G26" s="35" t="s">
        <v>110</v>
      </c>
      <c r="H26" s="36" t="s">
        <v>191</v>
      </c>
      <c r="I26" s="35"/>
      <c r="J26" s="35" t="s">
        <v>191</v>
      </c>
      <c r="K26" s="35">
        <v>1</v>
      </c>
      <c r="L26" s="35">
        <f t="shared" si="1"/>
        <v>2</v>
      </c>
      <c r="M26" s="35"/>
    </row>
    <row r="27" spans="1:13" x14ac:dyDescent="0.25">
      <c r="A27" s="1"/>
      <c r="B27" s="53">
        <f t="shared" si="0"/>
        <v>18</v>
      </c>
      <c r="C27" s="56" t="s">
        <v>12</v>
      </c>
      <c r="D27" s="55" t="s">
        <v>38</v>
      </c>
      <c r="E27" s="55" t="s">
        <v>76</v>
      </c>
      <c r="F27" s="57" t="s">
        <v>190</v>
      </c>
      <c r="G27" s="55" t="s">
        <v>109</v>
      </c>
      <c r="H27" s="57" t="s">
        <v>191</v>
      </c>
      <c r="I27" s="55"/>
      <c r="J27" s="55" t="s">
        <v>191</v>
      </c>
      <c r="K27" s="55">
        <v>1</v>
      </c>
      <c r="L27" s="35">
        <f t="shared" si="1"/>
        <v>2</v>
      </c>
      <c r="M27" s="36"/>
    </row>
    <row r="28" spans="1:13" x14ac:dyDescent="0.25">
      <c r="A28" s="1"/>
      <c r="B28" s="51">
        <f>ROW(B28) - ROW($B$9)</f>
        <v>19</v>
      </c>
      <c r="C28" s="58" t="s">
        <v>12</v>
      </c>
      <c r="D28" s="57" t="s">
        <v>39</v>
      </c>
      <c r="E28" s="57" t="s">
        <v>76</v>
      </c>
      <c r="F28" s="57" t="s">
        <v>190</v>
      </c>
      <c r="G28" s="57" t="s">
        <v>109</v>
      </c>
      <c r="H28" s="55" t="s">
        <v>191</v>
      </c>
      <c r="I28" s="57"/>
      <c r="J28" s="57" t="s">
        <v>191</v>
      </c>
      <c r="K28" s="57">
        <v>1</v>
      </c>
      <c r="L28" s="35">
        <f t="shared" si="1"/>
        <v>2</v>
      </c>
      <c r="M28" s="35"/>
    </row>
    <row r="29" spans="1:13" ht="24" x14ac:dyDescent="0.25">
      <c r="A29" s="1"/>
      <c r="B29" s="53">
        <f t="shared" si="0"/>
        <v>20</v>
      </c>
      <c r="C29" s="54" t="s">
        <v>15</v>
      </c>
      <c r="D29" s="36" t="s">
        <v>40</v>
      </c>
      <c r="E29" s="36" t="s">
        <v>79</v>
      </c>
      <c r="F29" s="35" t="s">
        <v>190</v>
      </c>
      <c r="G29" s="36" t="s">
        <v>111</v>
      </c>
      <c r="H29" s="36" t="s">
        <v>191</v>
      </c>
      <c r="I29" s="36" t="s">
        <v>158</v>
      </c>
      <c r="J29" s="36" t="s">
        <v>180</v>
      </c>
      <c r="K29" s="36">
        <v>1</v>
      </c>
      <c r="L29" s="35">
        <f t="shared" si="1"/>
        <v>2</v>
      </c>
      <c r="M29" s="36"/>
    </row>
    <row r="30" spans="1:13" ht="24" x14ac:dyDescent="0.25">
      <c r="A30" s="1"/>
      <c r="B30" s="51">
        <f>ROW(B30) - ROW($B$9)</f>
        <v>21</v>
      </c>
      <c r="C30" s="52" t="s">
        <v>16</v>
      </c>
      <c r="D30" s="35" t="s">
        <v>41</v>
      </c>
      <c r="E30" s="35" t="s">
        <v>80</v>
      </c>
      <c r="F30" s="35" t="s">
        <v>112</v>
      </c>
      <c r="G30" s="35" t="s">
        <v>133</v>
      </c>
      <c r="H30" s="35" t="s">
        <v>191</v>
      </c>
      <c r="I30" s="35" t="s">
        <v>159</v>
      </c>
      <c r="J30" s="35" t="s">
        <v>191</v>
      </c>
      <c r="K30" s="35">
        <v>3</v>
      </c>
      <c r="L30" s="35">
        <f t="shared" si="1"/>
        <v>6</v>
      </c>
      <c r="M30" s="35"/>
    </row>
    <row r="31" spans="1:13" ht="36" x14ac:dyDescent="0.25">
      <c r="A31" s="1"/>
      <c r="B31" s="53">
        <f t="shared" si="0"/>
        <v>22</v>
      </c>
      <c r="C31" s="54" t="s">
        <v>16</v>
      </c>
      <c r="D31" s="36" t="s">
        <v>42</v>
      </c>
      <c r="E31" s="36" t="s">
        <v>81</v>
      </c>
      <c r="F31" s="36" t="s">
        <v>112</v>
      </c>
      <c r="G31" s="36" t="s">
        <v>134</v>
      </c>
      <c r="H31" s="36" t="s">
        <v>191</v>
      </c>
      <c r="I31" s="36" t="s">
        <v>160</v>
      </c>
      <c r="J31" s="36" t="s">
        <v>191</v>
      </c>
      <c r="K31" s="36">
        <v>1</v>
      </c>
      <c r="L31" s="35">
        <f t="shared" si="1"/>
        <v>2</v>
      </c>
      <c r="M31" s="36"/>
    </row>
    <row r="32" spans="1:13" ht="24" x14ac:dyDescent="0.25">
      <c r="A32" s="1"/>
      <c r="B32" s="51">
        <f>ROW(B32) - ROW($B$9)</f>
        <v>23</v>
      </c>
      <c r="C32" s="52" t="s">
        <v>16</v>
      </c>
      <c r="D32" s="35" t="s">
        <v>43</v>
      </c>
      <c r="E32" s="35" t="s">
        <v>82</v>
      </c>
      <c r="F32" s="35" t="s">
        <v>112</v>
      </c>
      <c r="G32" s="35" t="s">
        <v>135</v>
      </c>
      <c r="H32" s="35" t="s">
        <v>191</v>
      </c>
      <c r="I32" s="35" t="s">
        <v>159</v>
      </c>
      <c r="J32" s="35" t="s">
        <v>191</v>
      </c>
      <c r="K32" s="35">
        <v>2</v>
      </c>
      <c r="L32" s="35">
        <f t="shared" si="1"/>
        <v>4</v>
      </c>
      <c r="M32" s="35"/>
    </row>
    <row r="33" spans="1:13" x14ac:dyDescent="0.25">
      <c r="A33" s="1"/>
      <c r="B33" s="53">
        <f t="shared" si="0"/>
        <v>24</v>
      </c>
      <c r="C33" s="56" t="s">
        <v>17</v>
      </c>
      <c r="D33" s="55" t="s">
        <v>44</v>
      </c>
      <c r="E33" s="55" t="s">
        <v>83</v>
      </c>
      <c r="F33" s="55" t="s">
        <v>190</v>
      </c>
      <c r="G33" s="55" t="s">
        <v>191</v>
      </c>
      <c r="H33" s="57" t="s">
        <v>191</v>
      </c>
      <c r="I33" s="55" t="s">
        <v>191</v>
      </c>
      <c r="J33" s="55" t="s">
        <v>191</v>
      </c>
      <c r="K33" s="55">
        <v>1</v>
      </c>
      <c r="L33" s="35">
        <f t="shared" si="1"/>
        <v>2</v>
      </c>
      <c r="M33" s="36"/>
    </row>
    <row r="34" spans="1:13" ht="24" x14ac:dyDescent="0.25">
      <c r="A34" s="1"/>
      <c r="B34" s="51">
        <f>ROW(B34) - ROW($B$9)</f>
        <v>25</v>
      </c>
      <c r="C34" s="52" t="s">
        <v>9</v>
      </c>
      <c r="D34" s="35" t="s">
        <v>45</v>
      </c>
      <c r="E34" s="35" t="s">
        <v>84</v>
      </c>
      <c r="F34" s="35" t="s">
        <v>113</v>
      </c>
      <c r="G34" s="35" t="s">
        <v>136</v>
      </c>
      <c r="H34" s="35" t="s">
        <v>191</v>
      </c>
      <c r="I34" s="35" t="s">
        <v>161</v>
      </c>
      <c r="J34" s="35" t="s">
        <v>181</v>
      </c>
      <c r="K34" s="35">
        <v>1</v>
      </c>
      <c r="L34" s="35">
        <f t="shared" si="1"/>
        <v>2</v>
      </c>
      <c r="M34" s="35"/>
    </row>
    <row r="35" spans="1:13" x14ac:dyDescent="0.25">
      <c r="A35" s="1"/>
      <c r="B35" s="53">
        <f t="shared" si="0"/>
        <v>26</v>
      </c>
      <c r="C35" s="54" t="s">
        <v>18</v>
      </c>
      <c r="D35" s="36" t="s">
        <v>46</v>
      </c>
      <c r="E35" s="36" t="s">
        <v>85</v>
      </c>
      <c r="F35" s="36" t="s">
        <v>114</v>
      </c>
      <c r="G35" s="36" t="s">
        <v>137</v>
      </c>
      <c r="H35" s="36" t="s">
        <v>191</v>
      </c>
      <c r="I35" s="36" t="s">
        <v>152</v>
      </c>
      <c r="J35" s="36" t="s">
        <v>182</v>
      </c>
      <c r="K35" s="36">
        <v>3</v>
      </c>
      <c r="L35" s="35">
        <f t="shared" si="1"/>
        <v>6</v>
      </c>
      <c r="M35" s="36"/>
    </row>
    <row r="36" spans="1:13" x14ac:dyDescent="0.25">
      <c r="A36" s="1"/>
      <c r="B36" s="51">
        <f>ROW(B36) - ROW($B$9)</f>
        <v>27</v>
      </c>
      <c r="C36" s="54" t="s">
        <v>18</v>
      </c>
      <c r="D36" s="35" t="s">
        <v>47</v>
      </c>
      <c r="E36" s="35" t="s">
        <v>86</v>
      </c>
      <c r="F36" s="35" t="s">
        <v>114</v>
      </c>
      <c r="G36" s="35" t="s">
        <v>138</v>
      </c>
      <c r="H36" s="36" t="s">
        <v>191</v>
      </c>
      <c r="I36" s="35" t="s">
        <v>152</v>
      </c>
      <c r="J36" s="35" t="s">
        <v>183</v>
      </c>
      <c r="K36" s="35">
        <v>1</v>
      </c>
      <c r="L36" s="35">
        <f t="shared" si="1"/>
        <v>2</v>
      </c>
      <c r="M36" s="35"/>
    </row>
    <row r="37" spans="1:13" x14ac:dyDescent="0.25">
      <c r="A37" s="1"/>
      <c r="B37" s="53">
        <f t="shared" si="0"/>
        <v>28</v>
      </c>
      <c r="C37" s="54" t="s">
        <v>18</v>
      </c>
      <c r="D37" s="36" t="s">
        <v>48</v>
      </c>
      <c r="E37" s="36" t="s">
        <v>87</v>
      </c>
      <c r="F37" s="36" t="s">
        <v>114</v>
      </c>
      <c r="G37" s="36" t="s">
        <v>139</v>
      </c>
      <c r="H37" s="35" t="s">
        <v>191</v>
      </c>
      <c r="I37" s="36" t="s">
        <v>152</v>
      </c>
      <c r="J37" s="36" t="s">
        <v>184</v>
      </c>
      <c r="K37" s="36">
        <v>3</v>
      </c>
      <c r="L37" s="35">
        <f t="shared" si="1"/>
        <v>6</v>
      </c>
      <c r="M37" s="36"/>
    </row>
    <row r="38" spans="1:13" x14ac:dyDescent="0.25">
      <c r="A38" s="1"/>
      <c r="B38" s="51">
        <f>ROW(B38) - ROW($B$9)</f>
        <v>29</v>
      </c>
      <c r="C38" s="52" t="s">
        <v>18</v>
      </c>
      <c r="D38" s="35" t="s">
        <v>49</v>
      </c>
      <c r="E38" s="35" t="s">
        <v>88</v>
      </c>
      <c r="F38" s="35" t="s">
        <v>114</v>
      </c>
      <c r="G38" s="35" t="s">
        <v>140</v>
      </c>
      <c r="H38" s="36" t="s">
        <v>191</v>
      </c>
      <c r="I38" s="35" t="s">
        <v>152</v>
      </c>
      <c r="J38" s="35" t="s">
        <v>185</v>
      </c>
      <c r="K38" s="35">
        <v>2</v>
      </c>
      <c r="L38" s="35">
        <f t="shared" si="1"/>
        <v>4</v>
      </c>
      <c r="M38" s="35"/>
    </row>
    <row r="39" spans="1:13" x14ac:dyDescent="0.25">
      <c r="A39" s="1"/>
      <c r="B39" s="53">
        <f t="shared" si="0"/>
        <v>30</v>
      </c>
      <c r="C39" s="54" t="s">
        <v>18</v>
      </c>
      <c r="D39" s="36" t="s">
        <v>50</v>
      </c>
      <c r="E39" s="36" t="s">
        <v>89</v>
      </c>
      <c r="F39" s="36" t="s">
        <v>114</v>
      </c>
      <c r="G39" s="36" t="s">
        <v>141</v>
      </c>
      <c r="H39" s="35" t="s">
        <v>191</v>
      </c>
      <c r="I39" s="36" t="s">
        <v>162</v>
      </c>
      <c r="J39" s="36" t="s">
        <v>186</v>
      </c>
      <c r="K39" s="36">
        <v>1</v>
      </c>
      <c r="L39" s="35">
        <f t="shared" si="1"/>
        <v>2</v>
      </c>
      <c r="M39" s="36"/>
    </row>
    <row r="40" spans="1:13" x14ac:dyDescent="0.25">
      <c r="A40" s="1"/>
      <c r="B40" s="51">
        <f>ROW(B40) - ROW($B$9)</f>
        <v>31</v>
      </c>
      <c r="C40" s="52" t="s">
        <v>18</v>
      </c>
      <c r="D40" s="35" t="s">
        <v>51</v>
      </c>
      <c r="E40" s="35" t="s">
        <v>90</v>
      </c>
      <c r="F40" s="35" t="s">
        <v>114</v>
      </c>
      <c r="G40" s="35" t="s">
        <v>142</v>
      </c>
      <c r="H40" s="36" t="s">
        <v>191</v>
      </c>
      <c r="I40" s="35" t="s">
        <v>152</v>
      </c>
      <c r="J40" s="35" t="s">
        <v>185</v>
      </c>
      <c r="K40" s="35">
        <v>2</v>
      </c>
      <c r="L40" s="35">
        <f t="shared" si="1"/>
        <v>4</v>
      </c>
      <c r="M40" s="35"/>
    </row>
    <row r="41" spans="1:13" x14ac:dyDescent="0.25">
      <c r="A41" s="1"/>
      <c r="B41" s="53">
        <f t="shared" si="0"/>
        <v>32</v>
      </c>
      <c r="C41" s="52" t="s">
        <v>18</v>
      </c>
      <c r="D41" s="36" t="s">
        <v>52</v>
      </c>
      <c r="E41" s="36" t="s">
        <v>91</v>
      </c>
      <c r="F41" s="36" t="s">
        <v>114</v>
      </c>
      <c r="G41" s="36" t="s">
        <v>143</v>
      </c>
      <c r="H41" s="35" t="s">
        <v>191</v>
      </c>
      <c r="I41" s="36" t="s">
        <v>152</v>
      </c>
      <c r="J41" s="36" t="s">
        <v>187</v>
      </c>
      <c r="K41" s="36">
        <v>1</v>
      </c>
      <c r="L41" s="35">
        <f t="shared" si="1"/>
        <v>2</v>
      </c>
      <c r="M41" s="36"/>
    </row>
    <row r="42" spans="1:13" x14ac:dyDescent="0.25">
      <c r="A42" s="1"/>
      <c r="B42" s="51">
        <f>ROW(B42) - ROW($B$9)</f>
        <v>33</v>
      </c>
      <c r="C42" s="52" t="s">
        <v>18</v>
      </c>
      <c r="D42" s="35" t="s">
        <v>53</v>
      </c>
      <c r="E42" s="35" t="s">
        <v>92</v>
      </c>
      <c r="F42" s="35" t="s">
        <v>114</v>
      </c>
      <c r="G42" s="35" t="s">
        <v>144</v>
      </c>
      <c r="H42" s="36" t="s">
        <v>191</v>
      </c>
      <c r="I42" s="35" t="s">
        <v>152</v>
      </c>
      <c r="J42" s="35" t="s">
        <v>188</v>
      </c>
      <c r="K42" s="35">
        <v>1</v>
      </c>
      <c r="L42" s="35">
        <f t="shared" si="1"/>
        <v>2</v>
      </c>
      <c r="M42" s="35"/>
    </row>
    <row r="43" spans="1:13" ht="24" x14ac:dyDescent="0.25">
      <c r="A43" s="1"/>
      <c r="B43" s="53">
        <f t="shared" si="0"/>
        <v>34</v>
      </c>
      <c r="C43" s="54" t="s">
        <v>18</v>
      </c>
      <c r="D43" s="36" t="s">
        <v>54</v>
      </c>
      <c r="E43" s="36" t="s">
        <v>93</v>
      </c>
      <c r="F43" s="36" t="s">
        <v>114</v>
      </c>
      <c r="G43" s="36" t="s">
        <v>145</v>
      </c>
      <c r="H43" s="36" t="s">
        <v>191</v>
      </c>
      <c r="I43" s="36" t="s">
        <v>152</v>
      </c>
      <c r="J43" s="36" t="s">
        <v>184</v>
      </c>
      <c r="K43" s="36">
        <v>1</v>
      </c>
      <c r="L43" s="35">
        <f t="shared" si="1"/>
        <v>2</v>
      </c>
      <c r="M43" s="36"/>
    </row>
    <row r="44" spans="1:13" ht="24" x14ac:dyDescent="0.25">
      <c r="A44" s="1"/>
      <c r="B44" s="51">
        <f>ROW(B44) - ROW($B$9)</f>
        <v>35</v>
      </c>
      <c r="C44" s="52" t="s">
        <v>192</v>
      </c>
      <c r="D44" s="35" t="s">
        <v>55</v>
      </c>
      <c r="E44" s="35" t="s">
        <v>94</v>
      </c>
      <c r="F44" s="35" t="s">
        <v>190</v>
      </c>
      <c r="G44" s="35" t="s">
        <v>146</v>
      </c>
      <c r="H44" s="35" t="s">
        <v>191</v>
      </c>
      <c r="I44" s="35" t="s">
        <v>163</v>
      </c>
      <c r="J44" s="35" t="s">
        <v>191</v>
      </c>
      <c r="K44" s="35">
        <v>1</v>
      </c>
      <c r="L44" s="35">
        <f t="shared" si="1"/>
        <v>2</v>
      </c>
      <c r="M44" s="35"/>
    </row>
    <row r="45" spans="1:13" ht="24" x14ac:dyDescent="0.25">
      <c r="A45" s="1"/>
      <c r="B45" s="53">
        <f t="shared" si="0"/>
        <v>36</v>
      </c>
      <c r="C45" s="54" t="s">
        <v>19</v>
      </c>
      <c r="D45" s="36" t="s">
        <v>56</v>
      </c>
      <c r="E45" s="36" t="s">
        <v>95</v>
      </c>
      <c r="F45" s="36" t="s">
        <v>115</v>
      </c>
      <c r="G45" s="36" t="s">
        <v>147</v>
      </c>
      <c r="H45" s="36" t="s">
        <v>191</v>
      </c>
      <c r="I45" s="36" t="s">
        <v>164</v>
      </c>
      <c r="J45" s="36" t="s">
        <v>191</v>
      </c>
      <c r="K45" s="36">
        <v>1</v>
      </c>
      <c r="L45" s="35">
        <f t="shared" si="1"/>
        <v>2</v>
      </c>
      <c r="M45" s="36"/>
    </row>
    <row r="46" spans="1:13" ht="48" x14ac:dyDescent="0.25">
      <c r="A46" s="1"/>
      <c r="B46" s="51">
        <f>ROW(B46) - ROW($B$9)</f>
        <v>37</v>
      </c>
      <c r="C46" s="52" t="s">
        <v>13</v>
      </c>
      <c r="D46" s="35" t="s">
        <v>57</v>
      </c>
      <c r="E46" s="35" t="s">
        <v>96</v>
      </c>
      <c r="F46" s="35" t="s">
        <v>190</v>
      </c>
      <c r="G46" s="35" t="s">
        <v>116</v>
      </c>
      <c r="H46" s="35" t="s">
        <v>191</v>
      </c>
      <c r="I46" s="35" t="s">
        <v>165</v>
      </c>
      <c r="J46" s="35" t="s">
        <v>191</v>
      </c>
      <c r="K46" s="35">
        <v>1</v>
      </c>
      <c r="L46" s="35">
        <f t="shared" si="1"/>
        <v>2</v>
      </c>
      <c r="M46" s="35"/>
    </row>
    <row r="47" spans="1:13" ht="36" x14ac:dyDescent="0.25">
      <c r="A47" s="1"/>
      <c r="B47" s="53">
        <f t="shared" si="0"/>
        <v>38</v>
      </c>
      <c r="C47" s="54" t="s">
        <v>19</v>
      </c>
      <c r="D47" s="36" t="s">
        <v>58</v>
      </c>
      <c r="E47" s="36" t="s">
        <v>97</v>
      </c>
      <c r="F47" s="36" t="s">
        <v>117</v>
      </c>
      <c r="G47" s="36" t="s">
        <v>148</v>
      </c>
      <c r="H47" s="36" t="s">
        <v>191</v>
      </c>
      <c r="I47" s="36" t="s">
        <v>166</v>
      </c>
      <c r="J47" s="36" t="s">
        <v>191</v>
      </c>
      <c r="K47" s="36">
        <v>2</v>
      </c>
      <c r="L47" s="35">
        <f t="shared" si="1"/>
        <v>4</v>
      </c>
      <c r="M47" s="36"/>
    </row>
    <row r="48" spans="1:13" ht="24" x14ac:dyDescent="0.25">
      <c r="A48" s="1"/>
      <c r="B48" s="51">
        <f>ROW(B48) - ROW($B$9)</f>
        <v>39</v>
      </c>
      <c r="C48" s="52" t="s">
        <v>19</v>
      </c>
      <c r="D48" s="35" t="s">
        <v>59</v>
      </c>
      <c r="E48" s="35" t="s">
        <v>98</v>
      </c>
      <c r="F48" s="35" t="s">
        <v>118</v>
      </c>
      <c r="G48" s="35" t="s">
        <v>149</v>
      </c>
      <c r="H48" s="35" t="s">
        <v>191</v>
      </c>
      <c r="I48" s="35" t="s">
        <v>167</v>
      </c>
      <c r="J48" s="35" t="s">
        <v>191</v>
      </c>
      <c r="K48" s="35">
        <v>1</v>
      </c>
      <c r="L48" s="35">
        <f t="shared" si="1"/>
        <v>2</v>
      </c>
      <c r="M48" s="35"/>
    </row>
    <row r="49" spans="1:19" ht="24" x14ac:dyDescent="0.25">
      <c r="A49" s="1"/>
      <c r="B49" s="53">
        <f t="shared" si="0"/>
        <v>40</v>
      </c>
      <c r="C49" s="54" t="s">
        <v>19</v>
      </c>
      <c r="D49" s="36" t="s">
        <v>60</v>
      </c>
      <c r="E49" s="36" t="s">
        <v>99</v>
      </c>
      <c r="F49" s="36" t="s">
        <v>119</v>
      </c>
      <c r="G49" s="36" t="s">
        <v>150</v>
      </c>
      <c r="H49" s="36" t="s">
        <v>191</v>
      </c>
      <c r="I49" s="36" t="s">
        <v>168</v>
      </c>
      <c r="J49" s="36" t="s">
        <v>191</v>
      </c>
      <c r="K49" s="36">
        <v>1</v>
      </c>
      <c r="L49" s="35">
        <f t="shared" si="1"/>
        <v>2</v>
      </c>
      <c r="M49" s="36"/>
    </row>
    <row r="50" spans="1:19" s="60" customFormat="1" ht="48" x14ac:dyDescent="0.25">
      <c r="A50" s="59"/>
      <c r="B50" s="53">
        <f t="shared" si="0"/>
        <v>41</v>
      </c>
      <c r="C50" s="54" t="s">
        <v>203</v>
      </c>
      <c r="D50" s="36" t="s">
        <v>191</v>
      </c>
      <c r="E50" s="36" t="s">
        <v>204</v>
      </c>
      <c r="F50" s="36" t="s">
        <v>191</v>
      </c>
      <c r="G50" s="36" t="s">
        <v>205</v>
      </c>
      <c r="H50" s="36" t="s">
        <v>191</v>
      </c>
      <c r="I50" s="36" t="s">
        <v>191</v>
      </c>
      <c r="J50" s="36" t="s">
        <v>191</v>
      </c>
      <c r="K50" s="36">
        <v>1</v>
      </c>
      <c r="L50" s="35">
        <f t="shared" si="1"/>
        <v>2</v>
      </c>
      <c r="M50" s="35"/>
      <c r="N50"/>
      <c r="O50"/>
      <c r="P50"/>
      <c r="Q50"/>
      <c r="R50"/>
      <c r="S50"/>
    </row>
    <row r="51" spans="1:19" x14ac:dyDescent="0.25">
      <c r="A51" s="1"/>
      <c r="B51" s="53">
        <f t="shared" si="0"/>
        <v>42</v>
      </c>
      <c r="C51" s="54" t="s">
        <v>203</v>
      </c>
      <c r="D51" s="36" t="s">
        <v>206</v>
      </c>
      <c r="E51" s="36" t="s">
        <v>207</v>
      </c>
      <c r="F51" s="36" t="s">
        <v>191</v>
      </c>
      <c r="G51" s="36" t="s">
        <v>208</v>
      </c>
      <c r="H51" s="36" t="s">
        <v>191</v>
      </c>
      <c r="I51" s="36" t="s">
        <v>191</v>
      </c>
      <c r="J51" s="36" t="s">
        <v>191</v>
      </c>
      <c r="K51" s="36">
        <v>1</v>
      </c>
      <c r="L51" s="35">
        <f t="shared" si="1"/>
        <v>2</v>
      </c>
      <c r="M51" s="35"/>
    </row>
    <row r="52" spans="1:19" x14ac:dyDescent="0.25">
      <c r="A52" s="1"/>
      <c r="B52" s="53">
        <f t="shared" si="0"/>
        <v>43</v>
      </c>
      <c r="C52" s="54" t="s">
        <v>203</v>
      </c>
      <c r="D52" s="36" t="s">
        <v>206</v>
      </c>
      <c r="E52" s="36" t="s">
        <v>209</v>
      </c>
      <c r="F52" s="36" t="s">
        <v>191</v>
      </c>
      <c r="G52" s="36" t="s">
        <v>191</v>
      </c>
      <c r="H52" s="36" t="s">
        <v>191</v>
      </c>
      <c r="I52" s="36" t="s">
        <v>191</v>
      </c>
      <c r="J52" s="36" t="s">
        <v>191</v>
      </c>
      <c r="K52" s="36">
        <v>1</v>
      </c>
      <c r="L52" s="35">
        <f t="shared" si="1"/>
        <v>2</v>
      </c>
      <c r="M52" s="35"/>
    </row>
    <row r="53" spans="1:19" x14ac:dyDescent="0.25">
      <c r="A53" s="1"/>
      <c r="B53" s="53">
        <f t="shared" si="0"/>
        <v>44</v>
      </c>
      <c r="C53" s="54" t="s">
        <v>203</v>
      </c>
      <c r="D53" s="36" t="s">
        <v>206</v>
      </c>
      <c r="E53" s="36" t="s">
        <v>210</v>
      </c>
      <c r="F53" s="36" t="s">
        <v>191</v>
      </c>
      <c r="G53" s="36" t="s">
        <v>191</v>
      </c>
      <c r="H53" s="36" t="s">
        <v>191</v>
      </c>
      <c r="I53" s="36" t="s">
        <v>191</v>
      </c>
      <c r="J53" s="36" t="s">
        <v>191</v>
      </c>
      <c r="K53" s="36">
        <v>1</v>
      </c>
      <c r="L53" s="35">
        <f t="shared" si="1"/>
        <v>2</v>
      </c>
      <c r="M53" s="35"/>
    </row>
    <row r="54" spans="1:19" ht="48" x14ac:dyDescent="0.25">
      <c r="A54" s="1"/>
      <c r="B54" s="53">
        <f t="shared" si="0"/>
        <v>45</v>
      </c>
      <c r="C54" s="54" t="s">
        <v>203</v>
      </c>
      <c r="D54" s="36" t="s">
        <v>211</v>
      </c>
      <c r="E54" s="36" t="s">
        <v>212</v>
      </c>
      <c r="F54" s="36" t="s">
        <v>191</v>
      </c>
      <c r="G54" s="36" t="s">
        <v>191</v>
      </c>
      <c r="H54" s="36" t="s">
        <v>191</v>
      </c>
      <c r="I54" s="36" t="s">
        <v>191</v>
      </c>
      <c r="J54" s="36" t="s">
        <v>191</v>
      </c>
      <c r="K54" s="36">
        <v>1</v>
      </c>
      <c r="L54" s="35">
        <f t="shared" si="1"/>
        <v>2</v>
      </c>
      <c r="M54" s="35"/>
    </row>
    <row r="55" spans="1:19" ht="15.75" thickBot="1" x14ac:dyDescent="0.3">
      <c r="A55" s="1"/>
      <c r="B55" s="53">
        <f t="shared" si="0"/>
        <v>46</v>
      </c>
      <c r="C55" s="54" t="s">
        <v>203</v>
      </c>
      <c r="D55" s="36" t="s">
        <v>213</v>
      </c>
      <c r="E55" s="36" t="s">
        <v>214</v>
      </c>
      <c r="F55" s="36" t="s">
        <v>191</v>
      </c>
      <c r="G55" s="36" t="s">
        <v>215</v>
      </c>
      <c r="H55" s="36" t="s">
        <v>191</v>
      </c>
      <c r="I55" s="36" t="s">
        <v>191</v>
      </c>
      <c r="J55" s="36" t="s">
        <v>191</v>
      </c>
      <c r="K55" s="36">
        <v>2</v>
      </c>
      <c r="L55" s="35">
        <f t="shared" si="1"/>
        <v>4</v>
      </c>
      <c r="M55" s="35"/>
    </row>
    <row r="56" spans="1:19" x14ac:dyDescent="0.25">
      <c r="A56" s="1"/>
      <c r="B56" s="30"/>
      <c r="C56" s="45"/>
      <c r="D56" s="31"/>
      <c r="E56" s="32"/>
      <c r="F56" s="33"/>
      <c r="G56" s="34"/>
      <c r="H56" s="34"/>
      <c r="I56" s="33"/>
      <c r="J56" s="34"/>
      <c r="K56" s="34"/>
      <c r="L56" s="34"/>
      <c r="M56" s="38"/>
    </row>
    <row r="57" spans="1:19" ht="15.75" thickBot="1" x14ac:dyDescent="0.3">
      <c r="A57" s="1"/>
      <c r="B57" s="24"/>
      <c r="C57" s="46"/>
      <c r="D57" s="8"/>
      <c r="E57" s="9"/>
      <c r="F57" s="9"/>
      <c r="G57" s="9"/>
      <c r="H57" s="9"/>
      <c r="I57" s="9"/>
      <c r="J57" s="9"/>
      <c r="K57" s="9"/>
      <c r="L57" s="9"/>
      <c r="M57" s="39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opLeftCell="A43" workbookViewId="0">
      <selection activeCell="K63" sqref="K63"/>
    </sheetView>
  </sheetViews>
  <sheetFormatPr defaultRowHeight="15" x14ac:dyDescent="0.25"/>
  <cols>
    <col min="2" max="2" width="3" bestFit="1" customWidth="1"/>
    <col min="3" max="3" width="16.28515625" customWidth="1"/>
    <col min="4" max="4" width="31.140625" bestFit="1" customWidth="1"/>
    <col min="5" max="5" width="29.85546875" customWidth="1"/>
    <col min="6" max="6" width="13.85546875" customWidth="1"/>
    <col min="7" max="7" width="25.28515625" bestFit="1" customWidth="1"/>
    <col min="8" max="8" width="21.5703125" bestFit="1" customWidth="1"/>
    <col min="9" max="9" width="13.285156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30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71"/>
      <c r="K1" s="71"/>
      <c r="L1" s="71"/>
      <c r="M1" s="71"/>
    </row>
    <row r="2" spans="1:13" ht="32.25" thickBot="1" x14ac:dyDescent="0.3">
      <c r="A2" s="1"/>
      <c r="B2" s="20"/>
      <c r="C2" s="40"/>
      <c r="D2" s="10" t="s">
        <v>0</v>
      </c>
      <c r="E2" s="10"/>
      <c r="F2" s="47" t="s">
        <v>5</v>
      </c>
      <c r="G2" s="11"/>
      <c r="H2" s="11"/>
      <c r="I2" s="3"/>
      <c r="J2" s="3"/>
      <c r="K2" s="3"/>
      <c r="L2" s="3"/>
      <c r="M2" s="37"/>
    </row>
    <row r="3" spans="1:13" x14ac:dyDescent="0.25">
      <c r="A3" s="1"/>
      <c r="B3" s="21"/>
      <c r="C3" s="41"/>
      <c r="D3" s="12" t="s">
        <v>1</v>
      </c>
      <c r="E3" s="12"/>
      <c r="F3" s="48" t="s">
        <v>6</v>
      </c>
      <c r="G3" s="12"/>
      <c r="H3" s="12"/>
      <c r="I3" s="4"/>
      <c r="J3" s="4"/>
      <c r="K3" s="4"/>
      <c r="L3" s="4"/>
      <c r="M3" s="72"/>
    </row>
    <row r="4" spans="1:13" x14ac:dyDescent="0.25">
      <c r="A4" s="1"/>
      <c r="B4" s="21"/>
      <c r="C4" s="41"/>
      <c r="D4" s="12" t="s">
        <v>2</v>
      </c>
      <c r="E4" s="12"/>
      <c r="F4" s="49" t="s">
        <v>6</v>
      </c>
      <c r="G4" s="13"/>
      <c r="H4" s="13"/>
      <c r="I4" s="6"/>
      <c r="J4" s="6"/>
      <c r="K4" s="6"/>
      <c r="L4" s="6"/>
      <c r="M4" s="73"/>
    </row>
    <row r="5" spans="1:13" x14ac:dyDescent="0.25">
      <c r="A5" s="1"/>
      <c r="B5" s="21"/>
      <c r="C5" s="41"/>
      <c r="D5" s="12" t="s">
        <v>3</v>
      </c>
      <c r="E5" s="12"/>
      <c r="F5" s="50" t="s">
        <v>7</v>
      </c>
      <c r="G5" s="14"/>
      <c r="H5" s="14"/>
      <c r="I5" s="5"/>
      <c r="J5" s="5"/>
      <c r="K5" s="5"/>
      <c r="L5" s="5"/>
      <c r="M5" s="73"/>
    </row>
    <row r="6" spans="1:13" x14ac:dyDescent="0.25">
      <c r="A6" s="1"/>
      <c r="B6" s="22"/>
      <c r="C6" s="42"/>
      <c r="D6" s="15"/>
      <c r="E6" s="15"/>
      <c r="F6" s="16"/>
      <c r="G6" s="14"/>
      <c r="H6" s="14"/>
      <c r="I6" s="5"/>
      <c r="J6" s="5"/>
      <c r="K6" s="5"/>
      <c r="L6" s="5"/>
      <c r="M6" s="73"/>
    </row>
    <row r="7" spans="1:13" x14ac:dyDescent="0.25">
      <c r="A7" s="1"/>
      <c r="B7" s="23"/>
      <c r="C7" s="43"/>
      <c r="D7" s="17"/>
      <c r="E7" s="17"/>
      <c r="F7" s="18"/>
      <c r="G7" s="17"/>
      <c r="H7" s="17"/>
      <c r="I7" s="7"/>
      <c r="J7" s="7"/>
      <c r="K7" s="7"/>
      <c r="L7" s="7"/>
      <c r="M7" s="73"/>
    </row>
    <row r="8" spans="1:13" ht="15.75" thickBot="1" x14ac:dyDescent="0.3">
      <c r="A8" s="1"/>
      <c r="B8" s="26"/>
      <c r="C8" s="44"/>
      <c r="D8" s="27"/>
      <c r="E8" s="27"/>
      <c r="F8" s="28"/>
      <c r="G8" s="17"/>
      <c r="H8" s="17"/>
      <c r="I8" s="7"/>
      <c r="J8" s="7"/>
      <c r="K8" s="7"/>
      <c r="L8" s="7"/>
      <c r="M8" s="73"/>
    </row>
    <row r="9" spans="1:13" ht="15.75" thickBot="1" x14ac:dyDescent="0.3">
      <c r="A9" s="1"/>
      <c r="B9" s="29" t="s">
        <v>4</v>
      </c>
      <c r="C9" s="29" t="s">
        <v>8</v>
      </c>
      <c r="D9" s="29" t="s">
        <v>20</v>
      </c>
      <c r="E9" s="29" t="s">
        <v>61</v>
      </c>
      <c r="F9" s="29" t="s">
        <v>100</v>
      </c>
      <c r="G9" s="29" t="s">
        <v>120</v>
      </c>
      <c r="H9" s="29" t="s">
        <v>193</v>
      </c>
      <c r="I9" s="29" t="s">
        <v>151</v>
      </c>
      <c r="J9" s="29" t="s">
        <v>195</v>
      </c>
      <c r="K9" s="29" t="s">
        <v>189</v>
      </c>
      <c r="L9" s="29" t="s">
        <v>198</v>
      </c>
      <c r="M9" s="29" t="s">
        <v>197</v>
      </c>
    </row>
    <row r="10" spans="1:13" x14ac:dyDescent="0.25">
      <c r="A10" s="1"/>
      <c r="B10" s="51">
        <f>ROW(B10) - ROW($B$9)</f>
        <v>1</v>
      </c>
      <c r="C10" s="52" t="s">
        <v>9</v>
      </c>
      <c r="D10" s="35" t="s">
        <v>21</v>
      </c>
      <c r="E10" s="35" t="s">
        <v>62</v>
      </c>
      <c r="F10" s="35" t="s">
        <v>101</v>
      </c>
      <c r="G10" s="35" t="s">
        <v>121</v>
      </c>
      <c r="H10" s="35" t="s">
        <v>191</v>
      </c>
      <c r="I10" s="35" t="s">
        <v>152</v>
      </c>
      <c r="J10" s="35" t="s">
        <v>169</v>
      </c>
      <c r="K10" s="35">
        <v>3</v>
      </c>
      <c r="L10" s="35">
        <f>K10*5</f>
        <v>15</v>
      </c>
      <c r="M10" s="35"/>
    </row>
    <row r="11" spans="1:13" ht="24" x14ac:dyDescent="0.25">
      <c r="A11" s="1"/>
      <c r="B11" s="53">
        <f t="shared" ref="B11:B55" si="0">ROW(B11) - ROW($B$9)</f>
        <v>2</v>
      </c>
      <c r="C11" s="54" t="s">
        <v>9</v>
      </c>
      <c r="D11" s="36" t="s">
        <v>22</v>
      </c>
      <c r="E11" s="36" t="s">
        <v>63</v>
      </c>
      <c r="F11" s="36" t="s">
        <v>101</v>
      </c>
      <c r="G11" s="55" t="s">
        <v>122</v>
      </c>
      <c r="H11" s="36" t="s">
        <v>194</v>
      </c>
      <c r="I11" s="36" t="s">
        <v>152</v>
      </c>
      <c r="J11" s="36" t="s">
        <v>170</v>
      </c>
      <c r="K11" s="36">
        <v>11</v>
      </c>
      <c r="L11" s="36">
        <f t="shared" ref="L11" si="1">K11*5</f>
        <v>55</v>
      </c>
      <c r="M11" s="36"/>
    </row>
    <row r="12" spans="1:13" x14ac:dyDescent="0.25">
      <c r="A12" s="1"/>
      <c r="B12" s="51">
        <f>ROW(B12) - ROW($B$9)</f>
        <v>3</v>
      </c>
      <c r="C12" s="52" t="s">
        <v>9</v>
      </c>
      <c r="D12" s="35" t="s">
        <v>23</v>
      </c>
      <c r="E12" s="35" t="s">
        <v>64</v>
      </c>
      <c r="F12" s="35" t="s">
        <v>101</v>
      </c>
      <c r="G12" s="35" t="s">
        <v>123</v>
      </c>
      <c r="H12" s="35" t="s">
        <v>191</v>
      </c>
      <c r="I12" s="35" t="s">
        <v>152</v>
      </c>
      <c r="J12" s="35" t="s">
        <v>171</v>
      </c>
      <c r="K12" s="35">
        <v>2</v>
      </c>
      <c r="L12" s="35">
        <f>K12*5</f>
        <v>10</v>
      </c>
      <c r="M12" s="35"/>
    </row>
    <row r="13" spans="1:13" x14ac:dyDescent="0.25">
      <c r="A13" s="1"/>
      <c r="B13" s="53">
        <f t="shared" si="0"/>
        <v>4</v>
      </c>
      <c r="C13" s="54" t="s">
        <v>9</v>
      </c>
      <c r="D13" s="36" t="s">
        <v>24</v>
      </c>
      <c r="E13" s="36" t="s">
        <v>65</v>
      </c>
      <c r="F13" s="36" t="s">
        <v>102</v>
      </c>
      <c r="G13" s="36" t="s">
        <v>124</v>
      </c>
      <c r="H13" s="36" t="s">
        <v>191</v>
      </c>
      <c r="I13" s="36" t="s">
        <v>152</v>
      </c>
      <c r="J13" s="36" t="s">
        <v>172</v>
      </c>
      <c r="K13" s="36">
        <v>9</v>
      </c>
      <c r="L13" s="36">
        <f t="shared" ref="L13" si="2">K13*5</f>
        <v>45</v>
      </c>
      <c r="M13" s="36"/>
    </row>
    <row r="14" spans="1:13" x14ac:dyDescent="0.25">
      <c r="A14" s="1"/>
      <c r="B14" s="51">
        <f>ROW(B14) - ROW($B$9)</f>
        <v>5</v>
      </c>
      <c r="C14" s="52" t="s">
        <v>9</v>
      </c>
      <c r="D14" s="35" t="s">
        <v>25</v>
      </c>
      <c r="E14" s="35" t="s">
        <v>66</v>
      </c>
      <c r="F14" s="35" t="s">
        <v>103</v>
      </c>
      <c r="G14" s="35" t="s">
        <v>125</v>
      </c>
      <c r="H14" s="36" t="s">
        <v>191</v>
      </c>
      <c r="I14" s="35" t="s">
        <v>152</v>
      </c>
      <c r="J14" s="35" t="s">
        <v>173</v>
      </c>
      <c r="K14" s="35">
        <v>1</v>
      </c>
      <c r="L14" s="35">
        <f>K14*5</f>
        <v>5</v>
      </c>
      <c r="M14" s="35"/>
    </row>
    <row r="15" spans="1:13" x14ac:dyDescent="0.25">
      <c r="A15" s="1"/>
      <c r="B15" s="53">
        <f t="shared" si="0"/>
        <v>6</v>
      </c>
      <c r="C15" s="54" t="s">
        <v>9</v>
      </c>
      <c r="D15" s="36" t="s">
        <v>26</v>
      </c>
      <c r="E15" s="36" t="s">
        <v>67</v>
      </c>
      <c r="F15" s="36" t="s">
        <v>101</v>
      </c>
      <c r="G15" s="36" t="s">
        <v>126</v>
      </c>
      <c r="H15" s="35" t="s">
        <v>191</v>
      </c>
      <c r="I15" s="36" t="s">
        <v>152</v>
      </c>
      <c r="J15" s="36" t="s">
        <v>174</v>
      </c>
      <c r="K15" s="36">
        <v>3</v>
      </c>
      <c r="L15" s="36">
        <f t="shared" ref="L15" si="3">K15*5</f>
        <v>15</v>
      </c>
      <c r="M15" s="36"/>
    </row>
    <row r="16" spans="1:13" ht="36" x14ac:dyDescent="0.25">
      <c r="A16" s="1"/>
      <c r="B16" s="51">
        <f>ROW(B16) - ROW($B$9)</f>
        <v>7</v>
      </c>
      <c r="C16" s="52" t="s">
        <v>9</v>
      </c>
      <c r="D16" s="35" t="s">
        <v>27</v>
      </c>
      <c r="E16" s="35" t="s">
        <v>68</v>
      </c>
      <c r="F16" s="35" t="s">
        <v>190</v>
      </c>
      <c r="G16" s="35" t="s">
        <v>104</v>
      </c>
      <c r="H16" s="36" t="s">
        <v>191</v>
      </c>
      <c r="I16" s="35" t="s">
        <v>153</v>
      </c>
      <c r="J16" s="35" t="s">
        <v>175</v>
      </c>
      <c r="K16" s="35">
        <v>1</v>
      </c>
      <c r="L16" s="35">
        <f>K16*5</f>
        <v>5</v>
      </c>
      <c r="M16" s="35"/>
    </row>
    <row r="17" spans="1:13" ht="36" x14ac:dyDescent="0.25">
      <c r="A17" s="1"/>
      <c r="B17" s="53">
        <f t="shared" si="0"/>
        <v>8</v>
      </c>
      <c r="C17" s="54" t="s">
        <v>9</v>
      </c>
      <c r="D17" s="36" t="s">
        <v>28</v>
      </c>
      <c r="E17" s="36" t="s">
        <v>69</v>
      </c>
      <c r="F17" s="35" t="s">
        <v>190</v>
      </c>
      <c r="G17" s="36" t="s">
        <v>105</v>
      </c>
      <c r="H17" s="36" t="s">
        <v>191</v>
      </c>
      <c r="I17" s="36" t="s">
        <v>153</v>
      </c>
      <c r="J17" s="36" t="s">
        <v>176</v>
      </c>
      <c r="K17" s="36">
        <v>1</v>
      </c>
      <c r="L17" s="36">
        <f t="shared" ref="L17" si="4">K17*5</f>
        <v>5</v>
      </c>
      <c r="M17" s="36"/>
    </row>
    <row r="18" spans="1:13" ht="36" x14ac:dyDescent="0.25">
      <c r="A18" s="1"/>
      <c r="B18" s="51">
        <f>ROW(B18) - ROW($B$9)</f>
        <v>9</v>
      </c>
      <c r="C18" s="52" t="s">
        <v>9</v>
      </c>
      <c r="D18" s="35" t="s">
        <v>29</v>
      </c>
      <c r="E18" s="35" t="s">
        <v>70</v>
      </c>
      <c r="F18" s="35" t="s">
        <v>190</v>
      </c>
      <c r="G18" s="35" t="s">
        <v>106</v>
      </c>
      <c r="H18" s="35" t="s">
        <v>191</v>
      </c>
      <c r="I18" s="35" t="s">
        <v>154</v>
      </c>
      <c r="J18" s="35" t="s">
        <v>177</v>
      </c>
      <c r="K18" s="35">
        <v>1</v>
      </c>
      <c r="L18" s="35">
        <f>K18*5</f>
        <v>5</v>
      </c>
      <c r="M18" s="35"/>
    </row>
    <row r="19" spans="1:13" x14ac:dyDescent="0.25">
      <c r="A19" s="1"/>
      <c r="B19" s="53">
        <f t="shared" si="0"/>
        <v>10</v>
      </c>
      <c r="C19" s="52" t="s">
        <v>9</v>
      </c>
      <c r="D19" s="36" t="s">
        <v>30</v>
      </c>
      <c r="E19" s="36" t="s">
        <v>71</v>
      </c>
      <c r="F19" s="36" t="s">
        <v>101</v>
      </c>
      <c r="G19" s="36" t="s">
        <v>127</v>
      </c>
      <c r="H19" s="36" t="s">
        <v>191</v>
      </c>
      <c r="I19" s="36" t="s">
        <v>152</v>
      </c>
      <c r="J19" s="36" t="s">
        <v>178</v>
      </c>
      <c r="K19" s="36">
        <v>1</v>
      </c>
      <c r="L19" s="36">
        <f t="shared" ref="L19" si="5">K19*5</f>
        <v>5</v>
      </c>
      <c r="M19" s="36"/>
    </row>
    <row r="20" spans="1:13" x14ac:dyDescent="0.25">
      <c r="A20" s="1"/>
      <c r="B20" s="51">
        <f>ROW(B20) - ROW($B$9)</f>
        <v>11</v>
      </c>
      <c r="C20" s="52" t="s">
        <v>9</v>
      </c>
      <c r="D20" s="35" t="s">
        <v>31</v>
      </c>
      <c r="E20" s="35" t="s">
        <v>72</v>
      </c>
      <c r="F20" s="35" t="s">
        <v>107</v>
      </c>
      <c r="G20" s="35" t="s">
        <v>128</v>
      </c>
      <c r="H20" s="36" t="s">
        <v>191</v>
      </c>
      <c r="I20" s="35" t="s">
        <v>152</v>
      </c>
      <c r="J20" s="35" t="s">
        <v>179</v>
      </c>
      <c r="K20" s="35">
        <v>1</v>
      </c>
      <c r="L20" s="35">
        <f>K20*5</f>
        <v>5</v>
      </c>
      <c r="M20" s="35"/>
    </row>
    <row r="21" spans="1:13" x14ac:dyDescent="0.25">
      <c r="A21" s="1"/>
      <c r="B21" s="53">
        <f t="shared" si="0"/>
        <v>12</v>
      </c>
      <c r="C21" s="54" t="s">
        <v>9</v>
      </c>
      <c r="D21" s="36" t="s">
        <v>32</v>
      </c>
      <c r="E21" s="36" t="s">
        <v>73</v>
      </c>
      <c r="F21" s="36" t="s">
        <v>101</v>
      </c>
      <c r="G21" s="36" t="s">
        <v>129</v>
      </c>
      <c r="H21" s="35" t="s">
        <v>191</v>
      </c>
      <c r="I21" s="36" t="s">
        <v>152</v>
      </c>
      <c r="J21" s="36" t="s">
        <v>172</v>
      </c>
      <c r="K21" s="36">
        <v>2</v>
      </c>
      <c r="L21" s="36">
        <f t="shared" ref="L21" si="6">K21*5</f>
        <v>10</v>
      </c>
      <c r="M21" s="36"/>
    </row>
    <row r="22" spans="1:13" x14ac:dyDescent="0.25">
      <c r="A22" s="1"/>
      <c r="B22" s="51">
        <f>ROW(B22) - ROW($B$9)</f>
        <v>13</v>
      </c>
      <c r="C22" s="52" t="s">
        <v>10</v>
      </c>
      <c r="D22" s="35" t="s">
        <v>33</v>
      </c>
      <c r="E22" s="35" t="s">
        <v>74</v>
      </c>
      <c r="F22" s="35" t="s">
        <v>108</v>
      </c>
      <c r="G22" s="35" t="s">
        <v>130</v>
      </c>
      <c r="H22" s="36" t="s">
        <v>191</v>
      </c>
      <c r="I22" s="35" t="s">
        <v>155</v>
      </c>
      <c r="J22" s="35" t="s">
        <v>191</v>
      </c>
      <c r="K22" s="35">
        <v>1</v>
      </c>
      <c r="L22" s="35">
        <f>K22*5</f>
        <v>5</v>
      </c>
      <c r="M22" s="35"/>
    </row>
    <row r="23" spans="1:13" x14ac:dyDescent="0.25">
      <c r="A23" s="1"/>
      <c r="B23" s="53">
        <f t="shared" si="0"/>
        <v>14</v>
      </c>
      <c r="C23" s="54" t="s">
        <v>11</v>
      </c>
      <c r="D23" s="36" t="s">
        <v>34</v>
      </c>
      <c r="E23" s="36" t="s">
        <v>75</v>
      </c>
      <c r="F23" s="35" t="s">
        <v>190</v>
      </c>
      <c r="G23" s="36" t="s">
        <v>131</v>
      </c>
      <c r="H23" s="36" t="s">
        <v>191</v>
      </c>
      <c r="I23" s="36" t="s">
        <v>156</v>
      </c>
      <c r="J23" s="36" t="s">
        <v>191</v>
      </c>
      <c r="K23" s="36">
        <v>1</v>
      </c>
      <c r="L23" s="36">
        <f t="shared" ref="L23" si="7">K23*5</f>
        <v>5</v>
      </c>
      <c r="M23" s="36"/>
    </row>
    <row r="24" spans="1:13" s="60" customFormat="1" x14ac:dyDescent="0.25">
      <c r="A24" s="59"/>
      <c r="B24" s="51">
        <f>ROW(B24) - ROW($B$9)</f>
        <v>15</v>
      </c>
      <c r="C24" s="56" t="s">
        <v>12</v>
      </c>
      <c r="D24" s="55" t="s">
        <v>35</v>
      </c>
      <c r="E24" s="55" t="s">
        <v>76</v>
      </c>
      <c r="F24" s="57" t="s">
        <v>190</v>
      </c>
      <c r="G24" s="55" t="s">
        <v>109</v>
      </c>
      <c r="H24" s="57" t="s">
        <v>191</v>
      </c>
      <c r="I24" s="55"/>
      <c r="J24" s="55" t="s">
        <v>191</v>
      </c>
      <c r="K24" s="55">
        <v>2</v>
      </c>
      <c r="L24" s="55">
        <f>K24*5</f>
        <v>10</v>
      </c>
      <c r="M24" s="35"/>
    </row>
    <row r="25" spans="1:13" s="60" customFormat="1" ht="24" x14ac:dyDescent="0.25">
      <c r="A25" s="59"/>
      <c r="B25" s="53">
        <f t="shared" si="0"/>
        <v>16</v>
      </c>
      <c r="C25" s="54" t="s">
        <v>13</v>
      </c>
      <c r="D25" s="36" t="s">
        <v>36</v>
      </c>
      <c r="E25" s="36" t="s">
        <v>77</v>
      </c>
      <c r="F25" s="35" t="s">
        <v>190</v>
      </c>
      <c r="G25" s="36" t="s">
        <v>132</v>
      </c>
      <c r="H25" s="36" t="s">
        <v>191</v>
      </c>
      <c r="I25" s="36" t="s">
        <v>157</v>
      </c>
      <c r="J25" s="36" t="s">
        <v>191</v>
      </c>
      <c r="K25" s="36">
        <v>1</v>
      </c>
      <c r="L25" s="36">
        <f t="shared" ref="L25" si="8">K25*5</f>
        <v>5</v>
      </c>
      <c r="M25" s="36"/>
    </row>
    <row r="26" spans="1:13" s="60" customFormat="1" ht="24" x14ac:dyDescent="0.25">
      <c r="A26" s="59"/>
      <c r="B26" s="51">
        <f>ROW(B26) - ROW($B$9)</f>
        <v>17</v>
      </c>
      <c r="C26" s="52" t="s">
        <v>14</v>
      </c>
      <c r="D26" s="35" t="s">
        <v>37</v>
      </c>
      <c r="E26" s="35" t="s">
        <v>78</v>
      </c>
      <c r="F26" s="35" t="s">
        <v>190</v>
      </c>
      <c r="G26" s="35" t="s">
        <v>110</v>
      </c>
      <c r="H26" s="36" t="s">
        <v>191</v>
      </c>
      <c r="I26" s="35" t="s">
        <v>191</v>
      </c>
      <c r="J26" s="35" t="s">
        <v>191</v>
      </c>
      <c r="K26" s="35">
        <v>1</v>
      </c>
      <c r="L26" s="35">
        <f>K26*5</f>
        <v>5</v>
      </c>
      <c r="M26" s="35"/>
    </row>
    <row r="27" spans="1:13" s="60" customFormat="1" x14ac:dyDescent="0.25">
      <c r="A27" s="59"/>
      <c r="B27" s="53">
        <f t="shared" si="0"/>
        <v>18</v>
      </c>
      <c r="C27" s="56" t="s">
        <v>12</v>
      </c>
      <c r="D27" s="55" t="s">
        <v>38</v>
      </c>
      <c r="E27" s="55" t="s">
        <v>76</v>
      </c>
      <c r="F27" s="57" t="s">
        <v>190</v>
      </c>
      <c r="G27" s="55" t="s">
        <v>109</v>
      </c>
      <c r="H27" s="57" t="s">
        <v>191</v>
      </c>
      <c r="I27" s="55" t="s">
        <v>191</v>
      </c>
      <c r="J27" s="55" t="s">
        <v>191</v>
      </c>
      <c r="K27" s="55">
        <v>1</v>
      </c>
      <c r="L27" s="55">
        <f t="shared" ref="L27" si="9">K27*5</f>
        <v>5</v>
      </c>
      <c r="M27" s="36"/>
    </row>
    <row r="28" spans="1:13" s="60" customFormat="1" x14ac:dyDescent="0.25">
      <c r="A28" s="59"/>
      <c r="B28" s="51">
        <f>ROW(B28) - ROW($B$9)</f>
        <v>19</v>
      </c>
      <c r="C28" s="58" t="s">
        <v>12</v>
      </c>
      <c r="D28" s="57" t="s">
        <v>39</v>
      </c>
      <c r="E28" s="57" t="s">
        <v>76</v>
      </c>
      <c r="F28" s="57" t="s">
        <v>190</v>
      </c>
      <c r="G28" s="57" t="s">
        <v>109</v>
      </c>
      <c r="H28" s="55" t="s">
        <v>191</v>
      </c>
      <c r="I28" s="57" t="s">
        <v>191</v>
      </c>
      <c r="J28" s="57" t="s">
        <v>191</v>
      </c>
      <c r="K28" s="57">
        <v>1</v>
      </c>
      <c r="L28" s="57">
        <f>K28*5</f>
        <v>5</v>
      </c>
      <c r="M28" s="35"/>
    </row>
    <row r="29" spans="1:13" s="60" customFormat="1" ht="24" x14ac:dyDescent="0.25">
      <c r="A29" s="59"/>
      <c r="B29" s="53">
        <f t="shared" si="0"/>
        <v>20</v>
      </c>
      <c r="C29" s="54" t="s">
        <v>15</v>
      </c>
      <c r="D29" s="36" t="s">
        <v>40</v>
      </c>
      <c r="E29" s="36" t="s">
        <v>79</v>
      </c>
      <c r="F29" s="35" t="s">
        <v>190</v>
      </c>
      <c r="G29" s="36" t="s">
        <v>111</v>
      </c>
      <c r="H29" s="36" t="s">
        <v>191</v>
      </c>
      <c r="I29" s="36" t="s">
        <v>158</v>
      </c>
      <c r="J29" s="36" t="s">
        <v>180</v>
      </c>
      <c r="K29" s="36">
        <v>1</v>
      </c>
      <c r="L29" s="36">
        <f t="shared" ref="L29" si="10">K29*5</f>
        <v>5</v>
      </c>
      <c r="M29" s="36"/>
    </row>
    <row r="30" spans="1:13" s="60" customFormat="1" ht="48" x14ac:dyDescent="0.25">
      <c r="A30" s="59"/>
      <c r="B30" s="51">
        <f>ROW(B30) - ROW($B$9)</f>
        <v>21</v>
      </c>
      <c r="C30" s="52" t="s">
        <v>16</v>
      </c>
      <c r="D30" s="35" t="s">
        <v>41</v>
      </c>
      <c r="E30" s="35" t="s">
        <v>80</v>
      </c>
      <c r="F30" s="35" t="s">
        <v>112</v>
      </c>
      <c r="G30" s="35" t="s">
        <v>133</v>
      </c>
      <c r="H30" s="35" t="s">
        <v>191</v>
      </c>
      <c r="I30" s="35" t="s">
        <v>159</v>
      </c>
      <c r="J30" s="35" t="s">
        <v>191</v>
      </c>
      <c r="K30" s="35">
        <v>3</v>
      </c>
      <c r="L30" s="35">
        <f>K30*5</f>
        <v>15</v>
      </c>
      <c r="M30" s="35"/>
    </row>
    <row r="31" spans="1:13" s="60" customFormat="1" ht="36" x14ac:dyDescent="0.25">
      <c r="A31" s="59"/>
      <c r="B31" s="53">
        <f t="shared" si="0"/>
        <v>22</v>
      </c>
      <c r="C31" s="54" t="s">
        <v>16</v>
      </c>
      <c r="D31" s="36" t="s">
        <v>42</v>
      </c>
      <c r="E31" s="36" t="s">
        <v>81</v>
      </c>
      <c r="F31" s="36" t="s">
        <v>112</v>
      </c>
      <c r="G31" s="36" t="s">
        <v>134</v>
      </c>
      <c r="H31" s="36" t="s">
        <v>191</v>
      </c>
      <c r="I31" s="36" t="s">
        <v>160</v>
      </c>
      <c r="J31" s="36" t="s">
        <v>191</v>
      </c>
      <c r="K31" s="36">
        <v>1</v>
      </c>
      <c r="L31" s="36">
        <f t="shared" ref="L31" si="11">K31*5</f>
        <v>5</v>
      </c>
      <c r="M31" s="36"/>
    </row>
    <row r="32" spans="1:13" s="60" customFormat="1" ht="48" x14ac:dyDescent="0.25">
      <c r="A32" s="59"/>
      <c r="B32" s="51">
        <f>ROW(B32) - ROW($B$9)</f>
        <v>23</v>
      </c>
      <c r="C32" s="52" t="s">
        <v>16</v>
      </c>
      <c r="D32" s="35" t="s">
        <v>43</v>
      </c>
      <c r="E32" s="35" t="s">
        <v>82</v>
      </c>
      <c r="F32" s="35" t="s">
        <v>112</v>
      </c>
      <c r="G32" s="35" t="s">
        <v>135</v>
      </c>
      <c r="H32" s="35" t="s">
        <v>191</v>
      </c>
      <c r="I32" s="35" t="s">
        <v>159</v>
      </c>
      <c r="J32" s="35" t="s">
        <v>191</v>
      </c>
      <c r="K32" s="35">
        <v>2</v>
      </c>
      <c r="L32" s="35">
        <f>K32*5</f>
        <v>10</v>
      </c>
      <c r="M32" s="35"/>
    </row>
    <row r="33" spans="1:13" s="60" customFormat="1" x14ac:dyDescent="0.25">
      <c r="A33" s="59"/>
      <c r="B33" s="53">
        <f t="shared" si="0"/>
        <v>24</v>
      </c>
      <c r="C33" s="56" t="s">
        <v>17</v>
      </c>
      <c r="D33" s="55" t="s">
        <v>44</v>
      </c>
      <c r="E33" s="55" t="s">
        <v>83</v>
      </c>
      <c r="F33" s="57" t="s">
        <v>190</v>
      </c>
      <c r="G33" s="55" t="s">
        <v>191</v>
      </c>
      <c r="H33" s="57" t="s">
        <v>191</v>
      </c>
      <c r="I33" s="55" t="s">
        <v>191</v>
      </c>
      <c r="J33" s="55" t="s">
        <v>191</v>
      </c>
      <c r="K33" s="55">
        <v>1</v>
      </c>
      <c r="L33" s="55">
        <f t="shared" ref="L33" si="12">K33*5</f>
        <v>5</v>
      </c>
      <c r="M33" s="36"/>
    </row>
    <row r="34" spans="1:13" s="60" customFormat="1" ht="24" x14ac:dyDescent="0.25">
      <c r="A34" s="59"/>
      <c r="B34" s="51">
        <f>ROW(B34) - ROW($B$9)</f>
        <v>25</v>
      </c>
      <c r="C34" s="52" t="s">
        <v>9</v>
      </c>
      <c r="D34" s="35" t="s">
        <v>45</v>
      </c>
      <c r="E34" s="35" t="s">
        <v>84</v>
      </c>
      <c r="F34" s="35" t="s">
        <v>113</v>
      </c>
      <c r="G34" s="35" t="s">
        <v>136</v>
      </c>
      <c r="H34" s="35" t="s">
        <v>191</v>
      </c>
      <c r="I34" s="35" t="s">
        <v>161</v>
      </c>
      <c r="J34" s="35" t="s">
        <v>181</v>
      </c>
      <c r="K34" s="35">
        <v>1</v>
      </c>
      <c r="L34" s="35">
        <f>K34*5</f>
        <v>5</v>
      </c>
      <c r="M34" s="35"/>
    </row>
    <row r="35" spans="1:13" s="60" customFormat="1" x14ac:dyDescent="0.25">
      <c r="A35" s="59"/>
      <c r="B35" s="53">
        <f t="shared" si="0"/>
        <v>26</v>
      </c>
      <c r="C35" s="54" t="s">
        <v>18</v>
      </c>
      <c r="D35" s="36" t="s">
        <v>46</v>
      </c>
      <c r="E35" s="36" t="s">
        <v>85</v>
      </c>
      <c r="F35" s="36" t="s">
        <v>114</v>
      </c>
      <c r="G35" s="36" t="s">
        <v>137</v>
      </c>
      <c r="H35" s="36" t="s">
        <v>191</v>
      </c>
      <c r="I35" s="36" t="s">
        <v>152</v>
      </c>
      <c r="J35" s="36" t="s">
        <v>182</v>
      </c>
      <c r="K35" s="36">
        <v>3</v>
      </c>
      <c r="L35" s="36">
        <f t="shared" ref="L35" si="13">K35*5</f>
        <v>15</v>
      </c>
      <c r="M35" s="36"/>
    </row>
    <row r="36" spans="1:13" s="60" customFormat="1" x14ac:dyDescent="0.25">
      <c r="A36" s="59"/>
      <c r="B36" s="51">
        <f>ROW(B36) - ROW($B$9)</f>
        <v>27</v>
      </c>
      <c r="C36" s="54" t="s">
        <v>18</v>
      </c>
      <c r="D36" s="35" t="s">
        <v>47</v>
      </c>
      <c r="E36" s="35" t="s">
        <v>86</v>
      </c>
      <c r="F36" s="35" t="s">
        <v>114</v>
      </c>
      <c r="G36" s="35" t="s">
        <v>138</v>
      </c>
      <c r="H36" s="36" t="s">
        <v>191</v>
      </c>
      <c r="I36" s="35" t="s">
        <v>152</v>
      </c>
      <c r="J36" s="35" t="s">
        <v>183</v>
      </c>
      <c r="K36" s="35">
        <v>1</v>
      </c>
      <c r="L36" s="35">
        <f>K36*5</f>
        <v>5</v>
      </c>
      <c r="M36" s="35"/>
    </row>
    <row r="37" spans="1:13" s="60" customFormat="1" x14ac:dyDescent="0.25">
      <c r="A37" s="59"/>
      <c r="B37" s="53">
        <f t="shared" si="0"/>
        <v>28</v>
      </c>
      <c r="C37" s="54" t="s">
        <v>18</v>
      </c>
      <c r="D37" s="36" t="s">
        <v>48</v>
      </c>
      <c r="E37" s="36" t="s">
        <v>87</v>
      </c>
      <c r="F37" s="36" t="s">
        <v>114</v>
      </c>
      <c r="G37" s="36" t="s">
        <v>139</v>
      </c>
      <c r="H37" s="35" t="s">
        <v>191</v>
      </c>
      <c r="I37" s="36" t="s">
        <v>152</v>
      </c>
      <c r="J37" s="36" t="s">
        <v>184</v>
      </c>
      <c r="K37" s="36">
        <v>3</v>
      </c>
      <c r="L37" s="36">
        <f t="shared" ref="L37" si="14">K37*5</f>
        <v>15</v>
      </c>
      <c r="M37" s="36"/>
    </row>
    <row r="38" spans="1:13" s="60" customFormat="1" x14ac:dyDescent="0.25">
      <c r="A38" s="59"/>
      <c r="B38" s="51">
        <f>ROW(B38) - ROW($B$9)</f>
        <v>29</v>
      </c>
      <c r="C38" s="52" t="s">
        <v>18</v>
      </c>
      <c r="D38" s="35" t="s">
        <v>49</v>
      </c>
      <c r="E38" s="35" t="s">
        <v>88</v>
      </c>
      <c r="F38" s="35" t="s">
        <v>114</v>
      </c>
      <c r="G38" s="35" t="s">
        <v>140</v>
      </c>
      <c r="H38" s="36" t="s">
        <v>191</v>
      </c>
      <c r="I38" s="35" t="s">
        <v>152</v>
      </c>
      <c r="J38" s="35" t="s">
        <v>185</v>
      </c>
      <c r="K38" s="35">
        <v>2</v>
      </c>
      <c r="L38" s="35">
        <f>K38*5</f>
        <v>10</v>
      </c>
      <c r="M38" s="35"/>
    </row>
    <row r="39" spans="1:13" s="60" customFormat="1" x14ac:dyDescent="0.25">
      <c r="A39" s="59"/>
      <c r="B39" s="53">
        <f t="shared" si="0"/>
        <v>30</v>
      </c>
      <c r="C39" s="54" t="s">
        <v>18</v>
      </c>
      <c r="D39" s="36" t="s">
        <v>50</v>
      </c>
      <c r="E39" s="36" t="s">
        <v>89</v>
      </c>
      <c r="F39" s="36" t="s">
        <v>114</v>
      </c>
      <c r="G39" s="36" t="s">
        <v>141</v>
      </c>
      <c r="H39" s="35" t="s">
        <v>191</v>
      </c>
      <c r="I39" s="36" t="s">
        <v>162</v>
      </c>
      <c r="J39" s="36" t="s">
        <v>186</v>
      </c>
      <c r="K39" s="36">
        <v>1</v>
      </c>
      <c r="L39" s="36">
        <f t="shared" ref="L39" si="15">K39*5</f>
        <v>5</v>
      </c>
      <c r="M39" s="36"/>
    </row>
    <row r="40" spans="1:13" s="60" customFormat="1" x14ac:dyDescent="0.25">
      <c r="A40" s="59"/>
      <c r="B40" s="51">
        <f>ROW(B40) - ROW($B$9)</f>
        <v>31</v>
      </c>
      <c r="C40" s="52" t="s">
        <v>18</v>
      </c>
      <c r="D40" s="35" t="s">
        <v>51</v>
      </c>
      <c r="E40" s="35" t="s">
        <v>90</v>
      </c>
      <c r="F40" s="35" t="s">
        <v>114</v>
      </c>
      <c r="G40" s="35" t="s">
        <v>142</v>
      </c>
      <c r="H40" s="36" t="s">
        <v>191</v>
      </c>
      <c r="I40" s="35" t="s">
        <v>152</v>
      </c>
      <c r="J40" s="35" t="s">
        <v>185</v>
      </c>
      <c r="K40" s="35">
        <v>2</v>
      </c>
      <c r="L40" s="35">
        <f>K40*5</f>
        <v>10</v>
      </c>
      <c r="M40" s="35"/>
    </row>
    <row r="41" spans="1:13" s="60" customFormat="1" x14ac:dyDescent="0.25">
      <c r="A41" s="59"/>
      <c r="B41" s="53">
        <f t="shared" si="0"/>
        <v>32</v>
      </c>
      <c r="C41" s="52" t="s">
        <v>18</v>
      </c>
      <c r="D41" s="36" t="s">
        <v>52</v>
      </c>
      <c r="E41" s="36" t="s">
        <v>91</v>
      </c>
      <c r="F41" s="36" t="s">
        <v>114</v>
      </c>
      <c r="G41" s="36" t="s">
        <v>143</v>
      </c>
      <c r="H41" s="35" t="s">
        <v>191</v>
      </c>
      <c r="I41" s="36" t="s">
        <v>152</v>
      </c>
      <c r="J41" s="36" t="s">
        <v>187</v>
      </c>
      <c r="K41" s="36">
        <v>1</v>
      </c>
      <c r="L41" s="36">
        <f t="shared" ref="L41" si="16">K41*5</f>
        <v>5</v>
      </c>
      <c r="M41" s="36"/>
    </row>
    <row r="42" spans="1:13" s="60" customFormat="1" x14ac:dyDescent="0.25">
      <c r="A42" s="59"/>
      <c r="B42" s="51">
        <f>ROW(B42) - ROW($B$9)</f>
        <v>33</v>
      </c>
      <c r="C42" s="52" t="s">
        <v>18</v>
      </c>
      <c r="D42" s="35" t="s">
        <v>53</v>
      </c>
      <c r="E42" s="35" t="s">
        <v>92</v>
      </c>
      <c r="F42" s="35" t="s">
        <v>114</v>
      </c>
      <c r="G42" s="35" t="s">
        <v>144</v>
      </c>
      <c r="H42" s="36" t="s">
        <v>191</v>
      </c>
      <c r="I42" s="35" t="s">
        <v>152</v>
      </c>
      <c r="J42" s="35" t="s">
        <v>188</v>
      </c>
      <c r="K42" s="35">
        <v>1</v>
      </c>
      <c r="L42" s="35">
        <f>K42*5</f>
        <v>5</v>
      </c>
      <c r="M42" s="35"/>
    </row>
    <row r="43" spans="1:13" s="60" customFormat="1" ht="24" x14ac:dyDescent="0.25">
      <c r="A43" s="59"/>
      <c r="B43" s="53">
        <f t="shared" si="0"/>
        <v>34</v>
      </c>
      <c r="C43" s="54" t="s">
        <v>18</v>
      </c>
      <c r="D43" s="36" t="s">
        <v>54</v>
      </c>
      <c r="E43" s="36" t="s">
        <v>93</v>
      </c>
      <c r="F43" s="36" t="s">
        <v>114</v>
      </c>
      <c r="G43" s="36" t="s">
        <v>145</v>
      </c>
      <c r="H43" s="36" t="s">
        <v>191</v>
      </c>
      <c r="I43" s="36" t="s">
        <v>152</v>
      </c>
      <c r="J43" s="36" t="s">
        <v>184</v>
      </c>
      <c r="K43" s="36">
        <v>1</v>
      </c>
      <c r="L43" s="36">
        <f t="shared" ref="L43" si="17">K43*5</f>
        <v>5</v>
      </c>
      <c r="M43" s="36"/>
    </row>
    <row r="44" spans="1:13" s="60" customFormat="1" ht="24" x14ac:dyDescent="0.25">
      <c r="A44" s="59"/>
      <c r="B44" s="51">
        <f>ROW(B44) - ROW($B$9)</f>
        <v>35</v>
      </c>
      <c r="C44" s="52" t="s">
        <v>192</v>
      </c>
      <c r="D44" s="35" t="s">
        <v>55</v>
      </c>
      <c r="E44" s="35" t="s">
        <v>94</v>
      </c>
      <c r="F44" s="35" t="s">
        <v>190</v>
      </c>
      <c r="G44" s="35" t="s">
        <v>146</v>
      </c>
      <c r="H44" s="35" t="s">
        <v>191</v>
      </c>
      <c r="I44" s="35" t="s">
        <v>163</v>
      </c>
      <c r="J44" s="35" t="s">
        <v>191</v>
      </c>
      <c r="K44" s="35">
        <v>1</v>
      </c>
      <c r="L44" s="35">
        <f>K44*5</f>
        <v>5</v>
      </c>
      <c r="M44" s="35"/>
    </row>
    <row r="45" spans="1:13" s="60" customFormat="1" ht="48" x14ac:dyDescent="0.25">
      <c r="A45" s="59"/>
      <c r="B45" s="53">
        <f t="shared" si="0"/>
        <v>36</v>
      </c>
      <c r="C45" s="54" t="s">
        <v>19</v>
      </c>
      <c r="D45" s="36" t="s">
        <v>56</v>
      </c>
      <c r="E45" s="36" t="s">
        <v>95</v>
      </c>
      <c r="F45" s="36" t="s">
        <v>115</v>
      </c>
      <c r="G45" s="36" t="s">
        <v>147</v>
      </c>
      <c r="H45" s="36" t="s">
        <v>191</v>
      </c>
      <c r="I45" s="36" t="s">
        <v>164</v>
      </c>
      <c r="J45" s="36" t="s">
        <v>191</v>
      </c>
      <c r="K45" s="36">
        <v>1</v>
      </c>
      <c r="L45" s="36">
        <f t="shared" ref="L45" si="18">K45*5</f>
        <v>5</v>
      </c>
      <c r="M45" s="36"/>
    </row>
    <row r="46" spans="1:13" s="60" customFormat="1" ht="48" x14ac:dyDescent="0.25">
      <c r="A46" s="59"/>
      <c r="B46" s="51">
        <f>ROW(B46) - ROW($B$9)</f>
        <v>37</v>
      </c>
      <c r="C46" s="52" t="s">
        <v>13</v>
      </c>
      <c r="D46" s="35" t="s">
        <v>57</v>
      </c>
      <c r="E46" s="35" t="s">
        <v>96</v>
      </c>
      <c r="F46" s="35" t="s">
        <v>190</v>
      </c>
      <c r="G46" s="35" t="s">
        <v>116</v>
      </c>
      <c r="H46" s="35" t="s">
        <v>191</v>
      </c>
      <c r="I46" s="35" t="s">
        <v>165</v>
      </c>
      <c r="J46" s="35" t="s">
        <v>191</v>
      </c>
      <c r="K46" s="35">
        <v>1</v>
      </c>
      <c r="L46" s="35">
        <f>K46*5</f>
        <v>5</v>
      </c>
      <c r="M46" s="35"/>
    </row>
    <row r="47" spans="1:13" s="60" customFormat="1" ht="36" x14ac:dyDescent="0.25">
      <c r="A47" s="59"/>
      <c r="B47" s="53">
        <f t="shared" si="0"/>
        <v>38</v>
      </c>
      <c r="C47" s="54" t="s">
        <v>19</v>
      </c>
      <c r="D47" s="36" t="s">
        <v>58</v>
      </c>
      <c r="E47" s="36" t="s">
        <v>97</v>
      </c>
      <c r="F47" s="36" t="s">
        <v>117</v>
      </c>
      <c r="G47" s="36" t="s">
        <v>148</v>
      </c>
      <c r="H47" s="36" t="s">
        <v>191</v>
      </c>
      <c r="I47" s="36" t="s">
        <v>166</v>
      </c>
      <c r="J47" s="36" t="s">
        <v>191</v>
      </c>
      <c r="K47" s="36">
        <v>2</v>
      </c>
      <c r="L47" s="36">
        <f t="shared" ref="L47" si="19">K47*5</f>
        <v>10</v>
      </c>
      <c r="M47" s="36"/>
    </row>
    <row r="48" spans="1:13" s="60" customFormat="1" ht="24" x14ac:dyDescent="0.25">
      <c r="A48" s="59"/>
      <c r="B48" s="51">
        <f>ROW(B48) - ROW($B$9)</f>
        <v>39</v>
      </c>
      <c r="C48" s="52" t="s">
        <v>19</v>
      </c>
      <c r="D48" s="35" t="s">
        <v>59</v>
      </c>
      <c r="E48" s="35" t="s">
        <v>98</v>
      </c>
      <c r="F48" s="35" t="s">
        <v>118</v>
      </c>
      <c r="G48" s="35" t="s">
        <v>149</v>
      </c>
      <c r="H48" s="35" t="s">
        <v>191</v>
      </c>
      <c r="I48" s="35" t="s">
        <v>167</v>
      </c>
      <c r="J48" s="35" t="s">
        <v>191</v>
      </c>
      <c r="K48" s="35">
        <v>1</v>
      </c>
      <c r="L48" s="35">
        <f>K48*5</f>
        <v>5</v>
      </c>
      <c r="M48" s="35"/>
    </row>
    <row r="49" spans="1:19" s="60" customFormat="1" ht="24" x14ac:dyDescent="0.25">
      <c r="A49" s="59"/>
      <c r="B49" s="53">
        <f t="shared" si="0"/>
        <v>40</v>
      </c>
      <c r="C49" s="54" t="s">
        <v>19</v>
      </c>
      <c r="D49" s="36" t="s">
        <v>60</v>
      </c>
      <c r="E49" s="36" t="s">
        <v>99</v>
      </c>
      <c r="F49" s="36" t="s">
        <v>119</v>
      </c>
      <c r="G49" s="36" t="s">
        <v>150</v>
      </c>
      <c r="H49" s="36" t="s">
        <v>191</v>
      </c>
      <c r="I49" s="36" t="s">
        <v>168</v>
      </c>
      <c r="J49" s="36" t="s">
        <v>191</v>
      </c>
      <c r="K49" s="36">
        <v>1</v>
      </c>
      <c r="L49" s="36">
        <f t="shared" ref="L49:L55" si="20">K49*5</f>
        <v>5</v>
      </c>
      <c r="M49" s="36"/>
    </row>
    <row r="50" spans="1:19" s="60" customFormat="1" ht="48" x14ac:dyDescent="0.25">
      <c r="A50" s="59"/>
      <c r="B50" s="53">
        <f t="shared" si="0"/>
        <v>41</v>
      </c>
      <c r="C50" s="54" t="s">
        <v>203</v>
      </c>
      <c r="D50" s="36" t="s">
        <v>191</v>
      </c>
      <c r="E50" s="36" t="s">
        <v>204</v>
      </c>
      <c r="F50" s="36" t="s">
        <v>191</v>
      </c>
      <c r="G50" s="36" t="s">
        <v>205</v>
      </c>
      <c r="H50" s="36" t="s">
        <v>191</v>
      </c>
      <c r="I50" s="36" t="s">
        <v>191</v>
      </c>
      <c r="J50" s="36" t="s">
        <v>191</v>
      </c>
      <c r="K50" s="36">
        <v>1</v>
      </c>
      <c r="L50" s="36">
        <f t="shared" si="20"/>
        <v>5</v>
      </c>
      <c r="M50" s="35"/>
      <c r="N50"/>
      <c r="O50"/>
      <c r="P50"/>
      <c r="Q50"/>
      <c r="R50"/>
      <c r="S50"/>
    </row>
    <row r="51" spans="1:19" x14ac:dyDescent="0.25">
      <c r="A51" s="1"/>
      <c r="B51" s="53">
        <f t="shared" si="0"/>
        <v>42</v>
      </c>
      <c r="C51" s="54" t="s">
        <v>203</v>
      </c>
      <c r="D51" s="36" t="s">
        <v>206</v>
      </c>
      <c r="E51" s="36" t="s">
        <v>207</v>
      </c>
      <c r="F51" s="36" t="s">
        <v>191</v>
      </c>
      <c r="G51" s="36" t="s">
        <v>208</v>
      </c>
      <c r="H51" s="36" t="s">
        <v>191</v>
      </c>
      <c r="I51" s="36" t="s">
        <v>191</v>
      </c>
      <c r="J51" s="36" t="s">
        <v>191</v>
      </c>
      <c r="K51" s="36">
        <v>1</v>
      </c>
      <c r="L51" s="36">
        <f t="shared" si="20"/>
        <v>5</v>
      </c>
      <c r="M51" s="35"/>
    </row>
    <row r="52" spans="1:19" x14ac:dyDescent="0.25">
      <c r="A52" s="1"/>
      <c r="B52" s="53">
        <f t="shared" si="0"/>
        <v>43</v>
      </c>
      <c r="C52" s="54" t="s">
        <v>203</v>
      </c>
      <c r="D52" s="36" t="s">
        <v>206</v>
      </c>
      <c r="E52" s="36" t="s">
        <v>209</v>
      </c>
      <c r="F52" s="36" t="s">
        <v>191</v>
      </c>
      <c r="G52" s="36" t="s">
        <v>191</v>
      </c>
      <c r="H52" s="36" t="s">
        <v>191</v>
      </c>
      <c r="I52" s="36" t="s">
        <v>191</v>
      </c>
      <c r="J52" s="36" t="s">
        <v>191</v>
      </c>
      <c r="K52" s="36">
        <v>1</v>
      </c>
      <c r="L52" s="36">
        <f t="shared" si="20"/>
        <v>5</v>
      </c>
      <c r="M52" s="35"/>
    </row>
    <row r="53" spans="1:19" x14ac:dyDescent="0.25">
      <c r="A53" s="1"/>
      <c r="B53" s="53">
        <f t="shared" si="0"/>
        <v>44</v>
      </c>
      <c r="C53" s="54" t="s">
        <v>203</v>
      </c>
      <c r="D53" s="36" t="s">
        <v>206</v>
      </c>
      <c r="E53" s="36" t="s">
        <v>210</v>
      </c>
      <c r="F53" s="36" t="s">
        <v>191</v>
      </c>
      <c r="G53" s="36" t="s">
        <v>191</v>
      </c>
      <c r="H53" s="36" t="s">
        <v>191</v>
      </c>
      <c r="I53" s="36" t="s">
        <v>191</v>
      </c>
      <c r="J53" s="36" t="s">
        <v>191</v>
      </c>
      <c r="K53" s="36">
        <v>1</v>
      </c>
      <c r="L53" s="36">
        <f t="shared" si="20"/>
        <v>5</v>
      </c>
      <c r="M53" s="35"/>
    </row>
    <row r="54" spans="1:19" ht="48" x14ac:dyDescent="0.25">
      <c r="A54" s="1"/>
      <c r="B54" s="53">
        <f t="shared" si="0"/>
        <v>45</v>
      </c>
      <c r="C54" s="54" t="s">
        <v>203</v>
      </c>
      <c r="D54" s="36" t="s">
        <v>211</v>
      </c>
      <c r="E54" s="36" t="s">
        <v>212</v>
      </c>
      <c r="F54" s="36" t="s">
        <v>191</v>
      </c>
      <c r="G54" s="36" t="s">
        <v>191</v>
      </c>
      <c r="H54" s="36" t="s">
        <v>191</v>
      </c>
      <c r="I54" s="36" t="s">
        <v>191</v>
      </c>
      <c r="J54" s="36" t="s">
        <v>191</v>
      </c>
      <c r="K54" s="36">
        <v>1</v>
      </c>
      <c r="L54" s="36">
        <f t="shared" si="20"/>
        <v>5</v>
      </c>
      <c r="M54" s="35"/>
    </row>
    <row r="55" spans="1:19" ht="15.75" thickBot="1" x14ac:dyDescent="0.3">
      <c r="A55" s="1"/>
      <c r="B55" s="53">
        <f t="shared" si="0"/>
        <v>46</v>
      </c>
      <c r="C55" s="54" t="s">
        <v>203</v>
      </c>
      <c r="D55" s="36" t="s">
        <v>213</v>
      </c>
      <c r="E55" s="36" t="s">
        <v>214</v>
      </c>
      <c r="F55" s="36" t="s">
        <v>191</v>
      </c>
      <c r="G55" s="36" t="s">
        <v>215</v>
      </c>
      <c r="H55" s="36" t="s">
        <v>191</v>
      </c>
      <c r="I55" s="36" t="s">
        <v>191</v>
      </c>
      <c r="J55" s="36" t="s">
        <v>191</v>
      </c>
      <c r="K55" s="36">
        <v>2</v>
      </c>
      <c r="L55" s="36">
        <f t="shared" si="20"/>
        <v>10</v>
      </c>
      <c r="M55" s="35"/>
    </row>
    <row r="56" spans="1:19" x14ac:dyDescent="0.25">
      <c r="A56" s="1"/>
      <c r="B56" s="30"/>
      <c r="C56" s="45"/>
      <c r="D56" s="31"/>
      <c r="E56" s="32"/>
      <c r="F56" s="33"/>
      <c r="G56" s="34"/>
      <c r="H56" s="34"/>
      <c r="I56" s="33"/>
      <c r="J56" s="34"/>
      <c r="K56" s="34"/>
      <c r="L56" s="34"/>
      <c r="M56" s="38"/>
    </row>
    <row r="57" spans="1:19" ht="15.75" thickBot="1" x14ac:dyDescent="0.3">
      <c r="A57" s="1"/>
      <c r="B57" s="24"/>
      <c r="C57" s="46"/>
      <c r="D57" s="8"/>
      <c r="E57" s="9"/>
      <c r="F57" s="9"/>
      <c r="G57" s="9"/>
      <c r="H57" s="9"/>
      <c r="I57" s="9"/>
      <c r="J57" s="9"/>
      <c r="K57" s="9"/>
      <c r="L57" s="9"/>
      <c r="M57" s="39"/>
    </row>
  </sheetData>
  <mergeCells count="2">
    <mergeCell ref="J1:M1"/>
    <mergeCell ref="M3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opLeftCell="A40" workbookViewId="0">
      <selection activeCell="I53" sqref="I53"/>
    </sheetView>
  </sheetViews>
  <sheetFormatPr defaultRowHeight="15" x14ac:dyDescent="0.25"/>
  <cols>
    <col min="2" max="2" width="3" bestFit="1" customWidth="1"/>
    <col min="3" max="3" width="14.85546875" customWidth="1"/>
    <col min="4" max="4" width="31.140625" bestFit="1" customWidth="1"/>
    <col min="5" max="5" width="26.42578125" customWidth="1"/>
    <col min="6" max="6" width="12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6.140625" bestFit="1" customWidth="1"/>
    <col min="11" max="11" width="8.7109375" bestFit="1" customWidth="1"/>
    <col min="12" max="12" width="19.28515625" bestFit="1" customWidth="1"/>
    <col min="13" max="13" width="26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</row>
    <row r="2" spans="1:13" ht="32.25" thickBot="1" x14ac:dyDescent="0.3">
      <c r="A2" s="1"/>
      <c r="B2" s="20"/>
      <c r="C2" s="40"/>
      <c r="D2" s="10" t="s">
        <v>0</v>
      </c>
      <c r="E2" s="10"/>
      <c r="F2" s="47" t="s">
        <v>199</v>
      </c>
      <c r="G2" s="11"/>
      <c r="H2" s="3"/>
      <c r="I2" s="11"/>
      <c r="J2" s="3"/>
      <c r="K2" s="3"/>
      <c r="L2" s="3"/>
      <c r="M2" s="67"/>
    </row>
    <row r="3" spans="1:13" x14ac:dyDescent="0.25">
      <c r="A3" s="1"/>
      <c r="B3" s="21"/>
      <c r="C3" s="41"/>
      <c r="D3" s="12" t="s">
        <v>1</v>
      </c>
      <c r="E3" s="12"/>
      <c r="F3" s="48" t="s">
        <v>200</v>
      </c>
      <c r="G3" s="12"/>
      <c r="H3" s="4"/>
      <c r="I3" s="12"/>
      <c r="J3" s="4"/>
      <c r="K3" s="4"/>
      <c r="L3" s="4"/>
      <c r="M3" s="72"/>
    </row>
    <row r="4" spans="1:13" x14ac:dyDescent="0.25">
      <c r="A4" s="1"/>
      <c r="B4" s="21"/>
      <c r="C4" s="41"/>
      <c r="D4" s="12" t="s">
        <v>2</v>
      </c>
      <c r="E4" s="12"/>
      <c r="F4" s="48" t="s">
        <v>200</v>
      </c>
      <c r="G4" s="13"/>
      <c r="H4" s="6"/>
      <c r="I4" s="13"/>
      <c r="J4" s="6"/>
      <c r="K4" s="5"/>
      <c r="L4" s="5"/>
      <c r="M4" s="73"/>
    </row>
    <row r="5" spans="1:13" x14ac:dyDescent="0.25">
      <c r="A5" s="1"/>
      <c r="B5" s="21"/>
      <c r="C5" s="41"/>
      <c r="D5" s="12" t="s">
        <v>3</v>
      </c>
      <c r="E5" s="12"/>
      <c r="F5" s="50" t="s">
        <v>7</v>
      </c>
      <c r="G5" s="14"/>
      <c r="H5" s="5"/>
      <c r="I5" s="14"/>
      <c r="J5" s="5"/>
      <c r="K5" s="5"/>
      <c r="L5" s="5"/>
      <c r="M5" s="73"/>
    </row>
    <row r="6" spans="1:13" x14ac:dyDescent="0.25">
      <c r="A6" s="1"/>
      <c r="B6" s="22"/>
      <c r="C6" s="42"/>
      <c r="D6" s="15"/>
      <c r="E6" s="15"/>
      <c r="F6" s="16"/>
      <c r="G6" s="14"/>
      <c r="H6" s="5"/>
      <c r="I6" s="14"/>
      <c r="J6" s="5"/>
      <c r="K6" s="5"/>
      <c r="L6" s="5"/>
      <c r="M6" s="73"/>
    </row>
    <row r="7" spans="1:13" x14ac:dyDescent="0.25">
      <c r="A7" s="1"/>
      <c r="B7" s="23"/>
      <c r="C7" s="43"/>
      <c r="D7" s="17"/>
      <c r="E7" s="17"/>
      <c r="F7" s="18"/>
      <c r="G7" s="17"/>
      <c r="H7" s="7"/>
      <c r="I7" s="17"/>
      <c r="J7" s="7"/>
      <c r="K7" s="7"/>
      <c r="L7" s="7"/>
      <c r="M7" s="73"/>
    </row>
    <row r="8" spans="1:13" ht="15.75" thickBot="1" x14ac:dyDescent="0.3">
      <c r="A8" s="1"/>
      <c r="B8" s="26"/>
      <c r="C8" s="44"/>
      <c r="D8" s="27"/>
      <c r="E8" s="27"/>
      <c r="F8" s="28"/>
      <c r="G8" s="17"/>
      <c r="H8" s="7"/>
      <c r="I8" s="17"/>
      <c r="J8" s="7"/>
      <c r="K8" s="7"/>
      <c r="L8" s="7"/>
      <c r="M8" s="73"/>
    </row>
    <row r="9" spans="1:13" ht="15.75" thickBot="1" x14ac:dyDescent="0.3">
      <c r="A9" s="1"/>
      <c r="B9" s="29" t="s">
        <v>4</v>
      </c>
      <c r="C9" s="29" t="s">
        <v>8</v>
      </c>
      <c r="D9" s="29" t="s">
        <v>20</v>
      </c>
      <c r="E9" s="29" t="s">
        <v>61</v>
      </c>
      <c r="F9" s="29" t="s">
        <v>100</v>
      </c>
      <c r="G9" s="29" t="s">
        <v>120</v>
      </c>
      <c r="H9" s="29" t="s">
        <v>151</v>
      </c>
      <c r="I9" s="29" t="s">
        <v>193</v>
      </c>
      <c r="J9" s="29" t="s">
        <v>195</v>
      </c>
      <c r="K9" s="29" t="s">
        <v>189</v>
      </c>
      <c r="L9" s="29" t="s">
        <v>201</v>
      </c>
      <c r="M9" s="29" t="s">
        <v>202</v>
      </c>
    </row>
    <row r="10" spans="1:13" x14ac:dyDescent="0.25">
      <c r="A10" s="59"/>
      <c r="B10" s="51">
        <f>ROW(B10) - ROW($B$9)</f>
        <v>1</v>
      </c>
      <c r="C10" s="52" t="s">
        <v>9</v>
      </c>
      <c r="D10" s="35" t="s">
        <v>21</v>
      </c>
      <c r="E10" s="35" t="s">
        <v>62</v>
      </c>
      <c r="F10" s="35" t="s">
        <v>101</v>
      </c>
      <c r="G10" s="35" t="s">
        <v>121</v>
      </c>
      <c r="H10" s="35" t="s">
        <v>152</v>
      </c>
      <c r="I10" s="35" t="s">
        <v>191</v>
      </c>
      <c r="J10" s="35" t="s">
        <v>169</v>
      </c>
      <c r="K10" s="35">
        <v>3</v>
      </c>
      <c r="L10" s="35">
        <f>K10*10</f>
        <v>30</v>
      </c>
      <c r="M10" s="68"/>
    </row>
    <row r="11" spans="1:13" ht="24" x14ac:dyDescent="0.25">
      <c r="A11" s="59"/>
      <c r="B11" s="53">
        <f t="shared" ref="B11:B55" si="0">ROW(B11) - ROW($B$9)</f>
        <v>2</v>
      </c>
      <c r="C11" s="54" t="s">
        <v>9</v>
      </c>
      <c r="D11" s="36" t="s">
        <v>22</v>
      </c>
      <c r="E11" s="36" t="s">
        <v>63</v>
      </c>
      <c r="F11" s="36" t="s">
        <v>101</v>
      </c>
      <c r="G11" s="55" t="s">
        <v>122</v>
      </c>
      <c r="H11" s="36" t="s">
        <v>152</v>
      </c>
      <c r="I11" s="36" t="s">
        <v>194</v>
      </c>
      <c r="J11" s="36" t="s">
        <v>170</v>
      </c>
      <c r="K11" s="36">
        <v>11</v>
      </c>
      <c r="L11" s="35">
        <f t="shared" ref="L11:L55" si="1">K11*10</f>
        <v>110</v>
      </c>
      <c r="M11" s="36"/>
    </row>
    <row r="12" spans="1:13" x14ac:dyDescent="0.25">
      <c r="A12" s="59"/>
      <c r="B12" s="51">
        <f>ROW(B12) - ROW($B$9)</f>
        <v>3</v>
      </c>
      <c r="C12" s="52" t="s">
        <v>9</v>
      </c>
      <c r="D12" s="35" t="s">
        <v>23</v>
      </c>
      <c r="E12" s="35" t="s">
        <v>64</v>
      </c>
      <c r="F12" s="35" t="s">
        <v>101</v>
      </c>
      <c r="G12" s="35" t="s">
        <v>123</v>
      </c>
      <c r="H12" s="35" t="s">
        <v>152</v>
      </c>
      <c r="I12" s="35" t="s">
        <v>191</v>
      </c>
      <c r="J12" s="35" t="s">
        <v>171</v>
      </c>
      <c r="K12" s="35">
        <v>2</v>
      </c>
      <c r="L12" s="35">
        <f t="shared" si="1"/>
        <v>20</v>
      </c>
      <c r="M12" s="69"/>
    </row>
    <row r="13" spans="1:13" x14ac:dyDescent="0.25">
      <c r="A13" s="59"/>
      <c r="B13" s="53">
        <f t="shared" si="0"/>
        <v>4</v>
      </c>
      <c r="C13" s="54" t="s">
        <v>9</v>
      </c>
      <c r="D13" s="36" t="s">
        <v>24</v>
      </c>
      <c r="E13" s="36" t="s">
        <v>65</v>
      </c>
      <c r="F13" s="36" t="s">
        <v>102</v>
      </c>
      <c r="G13" s="36" t="s">
        <v>124</v>
      </c>
      <c r="H13" s="36" t="s">
        <v>152</v>
      </c>
      <c r="I13" s="36" t="s">
        <v>191</v>
      </c>
      <c r="J13" s="36" t="s">
        <v>172</v>
      </c>
      <c r="K13" s="36">
        <v>9</v>
      </c>
      <c r="L13" s="35">
        <f t="shared" si="1"/>
        <v>90</v>
      </c>
      <c r="M13" s="69"/>
    </row>
    <row r="14" spans="1:13" x14ac:dyDescent="0.25">
      <c r="A14" s="59"/>
      <c r="B14" s="51">
        <f>ROW(B14) - ROW($B$9)</f>
        <v>5</v>
      </c>
      <c r="C14" s="52" t="s">
        <v>9</v>
      </c>
      <c r="D14" s="35" t="s">
        <v>25</v>
      </c>
      <c r="E14" s="35" t="s">
        <v>66</v>
      </c>
      <c r="F14" s="35" t="s">
        <v>103</v>
      </c>
      <c r="G14" s="35" t="s">
        <v>125</v>
      </c>
      <c r="H14" s="35" t="s">
        <v>152</v>
      </c>
      <c r="I14" s="36" t="s">
        <v>191</v>
      </c>
      <c r="J14" s="35" t="s">
        <v>173</v>
      </c>
      <c r="K14" s="35">
        <v>1</v>
      </c>
      <c r="L14" s="35">
        <f t="shared" si="1"/>
        <v>10</v>
      </c>
      <c r="M14" s="69"/>
    </row>
    <row r="15" spans="1:13" x14ac:dyDescent="0.25">
      <c r="A15" s="59"/>
      <c r="B15" s="53">
        <f t="shared" si="0"/>
        <v>6</v>
      </c>
      <c r="C15" s="54" t="s">
        <v>9</v>
      </c>
      <c r="D15" s="36" t="s">
        <v>26</v>
      </c>
      <c r="E15" s="36" t="s">
        <v>67</v>
      </c>
      <c r="F15" s="36" t="s">
        <v>101</v>
      </c>
      <c r="G15" s="36" t="s">
        <v>126</v>
      </c>
      <c r="H15" s="36" t="s">
        <v>152</v>
      </c>
      <c r="I15" s="35" t="s">
        <v>191</v>
      </c>
      <c r="J15" s="36" t="s">
        <v>174</v>
      </c>
      <c r="K15" s="36">
        <v>3</v>
      </c>
      <c r="L15" s="35">
        <f t="shared" si="1"/>
        <v>30</v>
      </c>
      <c r="M15" s="69"/>
    </row>
    <row r="16" spans="1:13" ht="36" x14ac:dyDescent="0.25">
      <c r="A16" s="59"/>
      <c r="B16" s="51">
        <f>ROW(B16) - ROW($B$9)</f>
        <v>7</v>
      </c>
      <c r="C16" s="52" t="s">
        <v>9</v>
      </c>
      <c r="D16" s="35" t="s">
        <v>27</v>
      </c>
      <c r="E16" s="35" t="s">
        <v>68</v>
      </c>
      <c r="F16" s="35" t="s">
        <v>190</v>
      </c>
      <c r="G16" s="35" t="s">
        <v>104</v>
      </c>
      <c r="H16" s="35" t="s">
        <v>153</v>
      </c>
      <c r="I16" s="36" t="s">
        <v>191</v>
      </c>
      <c r="J16" s="35" t="s">
        <v>175</v>
      </c>
      <c r="K16" s="35">
        <v>1</v>
      </c>
      <c r="L16" s="35">
        <f t="shared" si="1"/>
        <v>10</v>
      </c>
      <c r="M16" s="69"/>
    </row>
    <row r="17" spans="1:13" ht="36" x14ac:dyDescent="0.25">
      <c r="A17" s="59"/>
      <c r="B17" s="53">
        <f t="shared" si="0"/>
        <v>8</v>
      </c>
      <c r="C17" s="54" t="s">
        <v>9</v>
      </c>
      <c r="D17" s="36" t="s">
        <v>28</v>
      </c>
      <c r="E17" s="36" t="s">
        <v>69</v>
      </c>
      <c r="F17" s="35" t="s">
        <v>190</v>
      </c>
      <c r="G17" s="36" t="s">
        <v>105</v>
      </c>
      <c r="H17" s="36" t="s">
        <v>153</v>
      </c>
      <c r="I17" s="36" t="s">
        <v>191</v>
      </c>
      <c r="J17" s="36" t="s">
        <v>176</v>
      </c>
      <c r="K17" s="36">
        <v>1</v>
      </c>
      <c r="L17" s="35">
        <f t="shared" si="1"/>
        <v>10</v>
      </c>
      <c r="M17" s="69"/>
    </row>
    <row r="18" spans="1:13" ht="36" x14ac:dyDescent="0.25">
      <c r="A18" s="59"/>
      <c r="B18" s="51">
        <f>ROW(B18) - ROW($B$9)</f>
        <v>9</v>
      </c>
      <c r="C18" s="52" t="s">
        <v>9</v>
      </c>
      <c r="D18" s="35" t="s">
        <v>29</v>
      </c>
      <c r="E18" s="35" t="s">
        <v>70</v>
      </c>
      <c r="F18" s="35" t="s">
        <v>190</v>
      </c>
      <c r="G18" s="35" t="s">
        <v>106</v>
      </c>
      <c r="H18" s="35" t="s">
        <v>154</v>
      </c>
      <c r="I18" s="35" t="s">
        <v>191</v>
      </c>
      <c r="J18" s="35" t="s">
        <v>177</v>
      </c>
      <c r="K18" s="35">
        <v>1</v>
      </c>
      <c r="L18" s="35">
        <f t="shared" si="1"/>
        <v>10</v>
      </c>
      <c r="M18" s="69"/>
    </row>
    <row r="19" spans="1:13" x14ac:dyDescent="0.25">
      <c r="A19" s="59"/>
      <c r="B19" s="53">
        <f t="shared" si="0"/>
        <v>10</v>
      </c>
      <c r="C19" s="52" t="s">
        <v>9</v>
      </c>
      <c r="D19" s="36" t="s">
        <v>30</v>
      </c>
      <c r="E19" s="36" t="s">
        <v>71</v>
      </c>
      <c r="F19" s="36" t="s">
        <v>101</v>
      </c>
      <c r="G19" s="36" t="s">
        <v>127</v>
      </c>
      <c r="H19" s="36" t="s">
        <v>152</v>
      </c>
      <c r="I19" s="36" t="s">
        <v>191</v>
      </c>
      <c r="J19" s="36" t="s">
        <v>178</v>
      </c>
      <c r="K19" s="36">
        <v>1</v>
      </c>
      <c r="L19" s="35">
        <f t="shared" si="1"/>
        <v>10</v>
      </c>
      <c r="M19" s="69"/>
    </row>
    <row r="20" spans="1:13" x14ac:dyDescent="0.25">
      <c r="A20" s="59"/>
      <c r="B20" s="51">
        <f>ROW(B20) - ROW($B$9)</f>
        <v>11</v>
      </c>
      <c r="C20" s="52" t="s">
        <v>9</v>
      </c>
      <c r="D20" s="35" t="s">
        <v>31</v>
      </c>
      <c r="E20" s="35" t="s">
        <v>72</v>
      </c>
      <c r="F20" s="35" t="s">
        <v>107</v>
      </c>
      <c r="G20" s="35" t="s">
        <v>128</v>
      </c>
      <c r="H20" s="35" t="s">
        <v>152</v>
      </c>
      <c r="I20" s="36" t="s">
        <v>191</v>
      </c>
      <c r="J20" s="35" t="s">
        <v>179</v>
      </c>
      <c r="K20" s="35">
        <v>1</v>
      </c>
      <c r="L20" s="35">
        <f t="shared" si="1"/>
        <v>10</v>
      </c>
      <c r="M20" s="69"/>
    </row>
    <row r="21" spans="1:13" x14ac:dyDescent="0.25">
      <c r="A21" s="59"/>
      <c r="B21" s="53">
        <f t="shared" si="0"/>
        <v>12</v>
      </c>
      <c r="C21" s="54" t="s">
        <v>9</v>
      </c>
      <c r="D21" s="36" t="s">
        <v>32</v>
      </c>
      <c r="E21" s="36" t="s">
        <v>73</v>
      </c>
      <c r="F21" s="36" t="s">
        <v>101</v>
      </c>
      <c r="G21" s="36" t="s">
        <v>129</v>
      </c>
      <c r="H21" s="36" t="s">
        <v>152</v>
      </c>
      <c r="I21" s="35" t="s">
        <v>191</v>
      </c>
      <c r="J21" s="36" t="s">
        <v>172</v>
      </c>
      <c r="K21" s="36">
        <v>2</v>
      </c>
      <c r="L21" s="35">
        <f t="shared" si="1"/>
        <v>20</v>
      </c>
      <c r="M21" s="69"/>
    </row>
    <row r="22" spans="1:13" x14ac:dyDescent="0.25">
      <c r="A22" s="59"/>
      <c r="B22" s="51">
        <f>ROW(B22) - ROW($B$9)</f>
        <v>13</v>
      </c>
      <c r="C22" s="52" t="s">
        <v>10</v>
      </c>
      <c r="D22" s="35" t="s">
        <v>33</v>
      </c>
      <c r="E22" s="35" t="s">
        <v>74</v>
      </c>
      <c r="F22" s="35" t="s">
        <v>108</v>
      </c>
      <c r="G22" s="35" t="s">
        <v>130</v>
      </c>
      <c r="H22" s="35" t="s">
        <v>155</v>
      </c>
      <c r="I22" s="36" t="s">
        <v>191</v>
      </c>
      <c r="J22" s="35" t="s">
        <v>191</v>
      </c>
      <c r="K22" s="35">
        <v>1</v>
      </c>
      <c r="L22" s="35">
        <f t="shared" si="1"/>
        <v>10</v>
      </c>
      <c r="M22" s="69"/>
    </row>
    <row r="23" spans="1:13" ht="25.5" x14ac:dyDescent="0.25">
      <c r="A23" s="59"/>
      <c r="B23" s="53">
        <f t="shared" si="0"/>
        <v>14</v>
      </c>
      <c r="C23" s="54" t="s">
        <v>11</v>
      </c>
      <c r="D23" s="36" t="s">
        <v>34</v>
      </c>
      <c r="E23" s="36" t="s">
        <v>75</v>
      </c>
      <c r="F23" s="35" t="s">
        <v>190</v>
      </c>
      <c r="G23" s="36" t="s">
        <v>131</v>
      </c>
      <c r="H23" s="36" t="s">
        <v>156</v>
      </c>
      <c r="I23" s="36" t="s">
        <v>191</v>
      </c>
      <c r="J23" s="36" t="s">
        <v>191</v>
      </c>
      <c r="K23" s="36">
        <v>1</v>
      </c>
      <c r="L23" s="35">
        <f t="shared" si="1"/>
        <v>10</v>
      </c>
      <c r="M23" s="69"/>
    </row>
    <row r="24" spans="1:13" ht="25.5" x14ac:dyDescent="0.25">
      <c r="A24" s="59"/>
      <c r="B24" s="51">
        <f>ROW(B24) - ROW($B$9)</f>
        <v>15</v>
      </c>
      <c r="C24" s="56" t="s">
        <v>12</v>
      </c>
      <c r="D24" s="55" t="s">
        <v>35</v>
      </c>
      <c r="E24" s="55" t="s">
        <v>76</v>
      </c>
      <c r="F24" s="57" t="s">
        <v>190</v>
      </c>
      <c r="G24" s="55" t="s">
        <v>109</v>
      </c>
      <c r="H24" s="55"/>
      <c r="I24" s="57" t="s">
        <v>191</v>
      </c>
      <c r="J24" s="55" t="s">
        <v>191</v>
      </c>
      <c r="K24" s="55">
        <v>2</v>
      </c>
      <c r="L24" s="35">
        <f t="shared" si="1"/>
        <v>20</v>
      </c>
      <c r="M24" s="69"/>
    </row>
    <row r="25" spans="1:13" ht="25.5" x14ac:dyDescent="0.25">
      <c r="A25" s="59"/>
      <c r="B25" s="53">
        <f t="shared" si="0"/>
        <v>16</v>
      </c>
      <c r="C25" s="54" t="s">
        <v>13</v>
      </c>
      <c r="D25" s="36" t="s">
        <v>36</v>
      </c>
      <c r="E25" s="36" t="s">
        <v>77</v>
      </c>
      <c r="F25" s="35" t="s">
        <v>190</v>
      </c>
      <c r="G25" s="36" t="s">
        <v>132</v>
      </c>
      <c r="H25" s="36" t="s">
        <v>157</v>
      </c>
      <c r="I25" s="36" t="s">
        <v>191</v>
      </c>
      <c r="J25" s="36" t="s">
        <v>191</v>
      </c>
      <c r="K25" s="36">
        <v>1</v>
      </c>
      <c r="L25" s="35">
        <f t="shared" si="1"/>
        <v>10</v>
      </c>
      <c r="M25" s="69"/>
    </row>
    <row r="26" spans="1:13" ht="36" x14ac:dyDescent="0.25">
      <c r="A26" s="59"/>
      <c r="B26" s="51">
        <f>ROW(B26) - ROW($B$9)</f>
        <v>17</v>
      </c>
      <c r="C26" s="52" t="s">
        <v>14</v>
      </c>
      <c r="D26" s="35" t="s">
        <v>37</v>
      </c>
      <c r="E26" s="35" t="s">
        <v>78</v>
      </c>
      <c r="F26" s="35" t="s">
        <v>190</v>
      </c>
      <c r="G26" s="35" t="s">
        <v>110</v>
      </c>
      <c r="H26" s="35"/>
      <c r="I26" s="36" t="s">
        <v>191</v>
      </c>
      <c r="J26" s="35" t="s">
        <v>191</v>
      </c>
      <c r="K26" s="35">
        <v>1</v>
      </c>
      <c r="L26" s="35">
        <f t="shared" si="1"/>
        <v>10</v>
      </c>
      <c r="M26" s="69"/>
    </row>
    <row r="27" spans="1:13" ht="25.5" x14ac:dyDescent="0.25">
      <c r="A27" s="59"/>
      <c r="B27" s="53">
        <f t="shared" si="0"/>
        <v>18</v>
      </c>
      <c r="C27" s="56" t="s">
        <v>12</v>
      </c>
      <c r="D27" s="55" t="s">
        <v>38</v>
      </c>
      <c r="E27" s="55" t="s">
        <v>76</v>
      </c>
      <c r="F27" s="57" t="s">
        <v>190</v>
      </c>
      <c r="G27" s="55" t="s">
        <v>109</v>
      </c>
      <c r="H27" s="55"/>
      <c r="I27" s="57" t="s">
        <v>191</v>
      </c>
      <c r="J27" s="55" t="s">
        <v>191</v>
      </c>
      <c r="K27" s="55">
        <v>1</v>
      </c>
      <c r="L27" s="35">
        <f t="shared" si="1"/>
        <v>10</v>
      </c>
      <c r="M27" s="69"/>
    </row>
    <row r="28" spans="1:13" ht="25.5" x14ac:dyDescent="0.25">
      <c r="A28" s="59"/>
      <c r="B28" s="51">
        <f>ROW(B28) - ROW($B$9)</f>
        <v>19</v>
      </c>
      <c r="C28" s="58" t="s">
        <v>12</v>
      </c>
      <c r="D28" s="57" t="s">
        <v>39</v>
      </c>
      <c r="E28" s="57" t="s">
        <v>76</v>
      </c>
      <c r="F28" s="57" t="s">
        <v>190</v>
      </c>
      <c r="G28" s="57" t="s">
        <v>109</v>
      </c>
      <c r="H28" s="57"/>
      <c r="I28" s="55" t="s">
        <v>191</v>
      </c>
      <c r="J28" s="57" t="s">
        <v>191</v>
      </c>
      <c r="K28" s="57">
        <v>1</v>
      </c>
      <c r="L28" s="35">
        <f t="shared" si="1"/>
        <v>10</v>
      </c>
      <c r="M28" s="69"/>
    </row>
    <row r="29" spans="1:13" ht="36" x14ac:dyDescent="0.25">
      <c r="A29" s="59"/>
      <c r="B29" s="53">
        <f t="shared" si="0"/>
        <v>20</v>
      </c>
      <c r="C29" s="54" t="s">
        <v>15</v>
      </c>
      <c r="D29" s="36" t="s">
        <v>40</v>
      </c>
      <c r="E29" s="36" t="s">
        <v>79</v>
      </c>
      <c r="F29" s="35" t="s">
        <v>190</v>
      </c>
      <c r="G29" s="36" t="s">
        <v>111</v>
      </c>
      <c r="H29" s="36" t="s">
        <v>158</v>
      </c>
      <c r="I29" s="36" t="s">
        <v>191</v>
      </c>
      <c r="J29" s="36" t="s">
        <v>180</v>
      </c>
      <c r="K29" s="36">
        <v>1</v>
      </c>
      <c r="L29" s="35">
        <f t="shared" si="1"/>
        <v>10</v>
      </c>
      <c r="M29" s="69"/>
    </row>
    <row r="30" spans="1:13" ht="48" x14ac:dyDescent="0.25">
      <c r="A30" s="59"/>
      <c r="B30" s="51">
        <f>ROW(B30) - ROW($B$9)</f>
        <v>21</v>
      </c>
      <c r="C30" s="52" t="s">
        <v>16</v>
      </c>
      <c r="D30" s="35" t="s">
        <v>41</v>
      </c>
      <c r="E30" s="35" t="s">
        <v>80</v>
      </c>
      <c r="F30" s="35" t="s">
        <v>112</v>
      </c>
      <c r="G30" s="35" t="s">
        <v>133</v>
      </c>
      <c r="H30" s="35" t="s">
        <v>159</v>
      </c>
      <c r="I30" s="35" t="s">
        <v>191</v>
      </c>
      <c r="J30" s="35" t="s">
        <v>191</v>
      </c>
      <c r="K30" s="35">
        <v>3</v>
      </c>
      <c r="L30" s="35">
        <f t="shared" si="1"/>
        <v>30</v>
      </c>
      <c r="M30" s="69"/>
    </row>
    <row r="31" spans="1:13" ht="36" x14ac:dyDescent="0.25">
      <c r="A31" s="59"/>
      <c r="B31" s="53">
        <f t="shared" si="0"/>
        <v>22</v>
      </c>
      <c r="C31" s="54" t="s">
        <v>16</v>
      </c>
      <c r="D31" s="36" t="s">
        <v>42</v>
      </c>
      <c r="E31" s="36" t="s">
        <v>81</v>
      </c>
      <c r="F31" s="36" t="s">
        <v>112</v>
      </c>
      <c r="G31" s="36" t="s">
        <v>134</v>
      </c>
      <c r="H31" s="36" t="s">
        <v>160</v>
      </c>
      <c r="I31" s="36" t="s">
        <v>191</v>
      </c>
      <c r="J31" s="36" t="s">
        <v>191</v>
      </c>
      <c r="K31" s="36">
        <v>1</v>
      </c>
      <c r="L31" s="35">
        <f t="shared" si="1"/>
        <v>10</v>
      </c>
      <c r="M31" s="69"/>
    </row>
    <row r="32" spans="1:13" ht="48" x14ac:dyDescent="0.25">
      <c r="A32" s="59"/>
      <c r="B32" s="51">
        <f>ROW(B32) - ROW($B$9)</f>
        <v>23</v>
      </c>
      <c r="C32" s="52" t="s">
        <v>16</v>
      </c>
      <c r="D32" s="35" t="s">
        <v>43</v>
      </c>
      <c r="E32" s="35" t="s">
        <v>82</v>
      </c>
      <c r="F32" s="35" t="s">
        <v>112</v>
      </c>
      <c r="G32" s="35" t="s">
        <v>135</v>
      </c>
      <c r="H32" s="35" t="s">
        <v>159</v>
      </c>
      <c r="I32" s="35" t="s">
        <v>191</v>
      </c>
      <c r="J32" s="35" t="s">
        <v>191</v>
      </c>
      <c r="K32" s="35">
        <v>2</v>
      </c>
      <c r="L32" s="35">
        <f t="shared" si="1"/>
        <v>20</v>
      </c>
      <c r="M32" s="69"/>
    </row>
    <row r="33" spans="1:13" x14ac:dyDescent="0.25">
      <c r="A33" s="59"/>
      <c r="B33" s="53">
        <f t="shared" si="0"/>
        <v>24</v>
      </c>
      <c r="C33" s="56" t="s">
        <v>17</v>
      </c>
      <c r="D33" s="55" t="s">
        <v>44</v>
      </c>
      <c r="E33" s="55" t="s">
        <v>83</v>
      </c>
      <c r="F33" s="55" t="s">
        <v>190</v>
      </c>
      <c r="G33" s="55" t="s">
        <v>191</v>
      </c>
      <c r="H33" s="55" t="s">
        <v>191</v>
      </c>
      <c r="I33" s="57" t="s">
        <v>191</v>
      </c>
      <c r="J33" s="55" t="s">
        <v>191</v>
      </c>
      <c r="K33" s="55">
        <v>1</v>
      </c>
      <c r="L33" s="35">
        <f t="shared" si="1"/>
        <v>10</v>
      </c>
      <c r="M33" s="69"/>
    </row>
    <row r="34" spans="1:13" ht="24" x14ac:dyDescent="0.25">
      <c r="A34" s="59"/>
      <c r="B34" s="51">
        <f>ROW(B34) - ROW($B$9)</f>
        <v>25</v>
      </c>
      <c r="C34" s="52" t="s">
        <v>9</v>
      </c>
      <c r="D34" s="35" t="s">
        <v>45</v>
      </c>
      <c r="E34" s="35" t="s">
        <v>84</v>
      </c>
      <c r="F34" s="35" t="s">
        <v>113</v>
      </c>
      <c r="G34" s="35" t="s">
        <v>136</v>
      </c>
      <c r="H34" s="35" t="s">
        <v>161</v>
      </c>
      <c r="I34" s="35" t="s">
        <v>191</v>
      </c>
      <c r="J34" s="35" t="s">
        <v>181</v>
      </c>
      <c r="K34" s="35">
        <v>1</v>
      </c>
      <c r="L34" s="35">
        <f t="shared" si="1"/>
        <v>10</v>
      </c>
      <c r="M34" s="69"/>
    </row>
    <row r="35" spans="1:13" ht="24" x14ac:dyDescent="0.25">
      <c r="A35" s="59"/>
      <c r="B35" s="53">
        <f t="shared" si="0"/>
        <v>26</v>
      </c>
      <c r="C35" s="54" t="s">
        <v>18</v>
      </c>
      <c r="D35" s="36" t="s">
        <v>46</v>
      </c>
      <c r="E35" s="36" t="s">
        <v>85</v>
      </c>
      <c r="F35" s="36" t="s">
        <v>114</v>
      </c>
      <c r="G35" s="36" t="s">
        <v>137</v>
      </c>
      <c r="H35" s="36" t="s">
        <v>152</v>
      </c>
      <c r="I35" s="36" t="s">
        <v>191</v>
      </c>
      <c r="J35" s="36" t="s">
        <v>182</v>
      </c>
      <c r="K35" s="36">
        <v>3</v>
      </c>
      <c r="L35" s="35">
        <f t="shared" si="1"/>
        <v>30</v>
      </c>
      <c r="M35" s="69"/>
    </row>
    <row r="36" spans="1:13" x14ac:dyDescent="0.25">
      <c r="A36" s="59"/>
      <c r="B36" s="51">
        <f>ROW(B36) - ROW($B$9)</f>
        <v>27</v>
      </c>
      <c r="C36" s="54" t="s">
        <v>18</v>
      </c>
      <c r="D36" s="35" t="s">
        <v>47</v>
      </c>
      <c r="E36" s="35" t="s">
        <v>86</v>
      </c>
      <c r="F36" s="35" t="s">
        <v>114</v>
      </c>
      <c r="G36" s="35" t="s">
        <v>138</v>
      </c>
      <c r="H36" s="35" t="s">
        <v>152</v>
      </c>
      <c r="I36" s="36" t="s">
        <v>191</v>
      </c>
      <c r="J36" s="35" t="s">
        <v>183</v>
      </c>
      <c r="K36" s="35">
        <v>1</v>
      </c>
      <c r="L36" s="35">
        <f t="shared" si="1"/>
        <v>10</v>
      </c>
      <c r="M36" s="69"/>
    </row>
    <row r="37" spans="1:13" x14ac:dyDescent="0.25">
      <c r="A37" s="59"/>
      <c r="B37" s="53">
        <f t="shared" si="0"/>
        <v>28</v>
      </c>
      <c r="C37" s="54" t="s">
        <v>18</v>
      </c>
      <c r="D37" s="36" t="s">
        <v>48</v>
      </c>
      <c r="E37" s="36" t="s">
        <v>87</v>
      </c>
      <c r="F37" s="36" t="s">
        <v>114</v>
      </c>
      <c r="G37" s="36" t="s">
        <v>139</v>
      </c>
      <c r="H37" s="36" t="s">
        <v>152</v>
      </c>
      <c r="I37" s="35" t="s">
        <v>191</v>
      </c>
      <c r="J37" s="36" t="s">
        <v>184</v>
      </c>
      <c r="K37" s="36">
        <v>3</v>
      </c>
      <c r="L37" s="35">
        <f t="shared" si="1"/>
        <v>30</v>
      </c>
      <c r="M37" s="69"/>
    </row>
    <row r="38" spans="1:13" x14ac:dyDescent="0.25">
      <c r="A38" s="59"/>
      <c r="B38" s="51">
        <f>ROW(B38) - ROW($B$9)</f>
        <v>29</v>
      </c>
      <c r="C38" s="52" t="s">
        <v>18</v>
      </c>
      <c r="D38" s="35" t="s">
        <v>49</v>
      </c>
      <c r="E38" s="35" t="s">
        <v>88</v>
      </c>
      <c r="F38" s="35" t="s">
        <v>114</v>
      </c>
      <c r="G38" s="35" t="s">
        <v>140</v>
      </c>
      <c r="H38" s="35" t="s">
        <v>152</v>
      </c>
      <c r="I38" s="36" t="s">
        <v>191</v>
      </c>
      <c r="J38" s="35" t="s">
        <v>185</v>
      </c>
      <c r="K38" s="35">
        <v>2</v>
      </c>
      <c r="L38" s="35">
        <f t="shared" si="1"/>
        <v>20</v>
      </c>
      <c r="M38" s="69"/>
    </row>
    <row r="39" spans="1:13" ht="24" x14ac:dyDescent="0.25">
      <c r="A39" s="59"/>
      <c r="B39" s="53">
        <f t="shared" si="0"/>
        <v>30</v>
      </c>
      <c r="C39" s="54" t="s">
        <v>18</v>
      </c>
      <c r="D39" s="36" t="s">
        <v>50</v>
      </c>
      <c r="E39" s="36" t="s">
        <v>89</v>
      </c>
      <c r="F39" s="36" t="s">
        <v>114</v>
      </c>
      <c r="G39" s="36" t="s">
        <v>141</v>
      </c>
      <c r="H39" s="36" t="s">
        <v>162</v>
      </c>
      <c r="I39" s="35" t="s">
        <v>191</v>
      </c>
      <c r="J39" s="36" t="s">
        <v>186</v>
      </c>
      <c r="K39" s="36">
        <v>1</v>
      </c>
      <c r="L39" s="35">
        <f t="shared" si="1"/>
        <v>10</v>
      </c>
      <c r="M39" s="69"/>
    </row>
    <row r="40" spans="1:13" ht="24" x14ac:dyDescent="0.25">
      <c r="A40" s="59"/>
      <c r="B40" s="51">
        <f>ROW(B40) - ROW($B$9)</f>
        <v>31</v>
      </c>
      <c r="C40" s="52" t="s">
        <v>18</v>
      </c>
      <c r="D40" s="35" t="s">
        <v>51</v>
      </c>
      <c r="E40" s="35" t="s">
        <v>90</v>
      </c>
      <c r="F40" s="35" t="s">
        <v>114</v>
      </c>
      <c r="G40" s="35" t="s">
        <v>142</v>
      </c>
      <c r="H40" s="35" t="s">
        <v>152</v>
      </c>
      <c r="I40" s="36" t="s">
        <v>191</v>
      </c>
      <c r="J40" s="35" t="s">
        <v>185</v>
      </c>
      <c r="K40" s="35">
        <v>2</v>
      </c>
      <c r="L40" s="35">
        <f t="shared" si="1"/>
        <v>20</v>
      </c>
      <c r="M40" s="69"/>
    </row>
    <row r="41" spans="1:13" ht="24" x14ac:dyDescent="0.25">
      <c r="A41" s="59"/>
      <c r="B41" s="53">
        <f t="shared" si="0"/>
        <v>32</v>
      </c>
      <c r="C41" s="52" t="s">
        <v>18</v>
      </c>
      <c r="D41" s="36" t="s">
        <v>52</v>
      </c>
      <c r="E41" s="36" t="s">
        <v>91</v>
      </c>
      <c r="F41" s="36" t="s">
        <v>114</v>
      </c>
      <c r="G41" s="36" t="s">
        <v>143</v>
      </c>
      <c r="H41" s="36" t="s">
        <v>152</v>
      </c>
      <c r="I41" s="35" t="s">
        <v>191</v>
      </c>
      <c r="J41" s="36" t="s">
        <v>187</v>
      </c>
      <c r="K41" s="36">
        <v>1</v>
      </c>
      <c r="L41" s="35">
        <f t="shared" si="1"/>
        <v>10</v>
      </c>
      <c r="M41" s="69"/>
    </row>
    <row r="42" spans="1:13" x14ac:dyDescent="0.25">
      <c r="A42" s="59"/>
      <c r="B42" s="51">
        <f>ROW(B42) - ROW($B$9)</f>
        <v>33</v>
      </c>
      <c r="C42" s="52" t="s">
        <v>18</v>
      </c>
      <c r="D42" s="35" t="s">
        <v>53</v>
      </c>
      <c r="E42" s="35" t="s">
        <v>92</v>
      </c>
      <c r="F42" s="35" t="s">
        <v>114</v>
      </c>
      <c r="G42" s="35" t="s">
        <v>144</v>
      </c>
      <c r="H42" s="35" t="s">
        <v>152</v>
      </c>
      <c r="I42" s="36" t="s">
        <v>191</v>
      </c>
      <c r="J42" s="35" t="s">
        <v>188</v>
      </c>
      <c r="K42" s="35">
        <v>1</v>
      </c>
      <c r="L42" s="35">
        <f t="shared" si="1"/>
        <v>10</v>
      </c>
      <c r="M42" s="69"/>
    </row>
    <row r="43" spans="1:13" ht="24" x14ac:dyDescent="0.25">
      <c r="A43" s="59"/>
      <c r="B43" s="53">
        <f t="shared" si="0"/>
        <v>34</v>
      </c>
      <c r="C43" s="54" t="s">
        <v>18</v>
      </c>
      <c r="D43" s="36" t="s">
        <v>54</v>
      </c>
      <c r="E43" s="36" t="s">
        <v>93</v>
      </c>
      <c r="F43" s="36" t="s">
        <v>114</v>
      </c>
      <c r="G43" s="36" t="s">
        <v>145</v>
      </c>
      <c r="H43" s="36" t="s">
        <v>152</v>
      </c>
      <c r="I43" s="36" t="s">
        <v>191</v>
      </c>
      <c r="J43" s="36" t="s">
        <v>184</v>
      </c>
      <c r="K43" s="36">
        <v>1</v>
      </c>
      <c r="L43" s="35">
        <f t="shared" si="1"/>
        <v>10</v>
      </c>
      <c r="M43" s="69"/>
    </row>
    <row r="44" spans="1:13" ht="24" x14ac:dyDescent="0.25">
      <c r="A44" s="59"/>
      <c r="B44" s="51">
        <f>ROW(B44) - ROW($B$9)</f>
        <v>35</v>
      </c>
      <c r="C44" s="52" t="s">
        <v>192</v>
      </c>
      <c r="D44" s="35" t="s">
        <v>55</v>
      </c>
      <c r="E44" s="35" t="s">
        <v>94</v>
      </c>
      <c r="F44" s="35" t="s">
        <v>190</v>
      </c>
      <c r="G44" s="35" t="s">
        <v>146</v>
      </c>
      <c r="H44" s="35" t="s">
        <v>163</v>
      </c>
      <c r="I44" s="35" t="s">
        <v>191</v>
      </c>
      <c r="J44" s="35" t="s">
        <v>191</v>
      </c>
      <c r="K44" s="35">
        <v>1</v>
      </c>
      <c r="L44" s="35">
        <f t="shared" si="1"/>
        <v>10</v>
      </c>
      <c r="M44" s="69"/>
    </row>
    <row r="45" spans="1:13" ht="48" x14ac:dyDescent="0.25">
      <c r="A45" s="59"/>
      <c r="B45" s="53">
        <f t="shared" si="0"/>
        <v>36</v>
      </c>
      <c r="C45" s="54" t="s">
        <v>19</v>
      </c>
      <c r="D45" s="36" t="s">
        <v>56</v>
      </c>
      <c r="E45" s="36" t="s">
        <v>95</v>
      </c>
      <c r="F45" s="36" t="s">
        <v>115</v>
      </c>
      <c r="G45" s="36" t="s">
        <v>147</v>
      </c>
      <c r="H45" s="36" t="s">
        <v>164</v>
      </c>
      <c r="I45" s="36" t="s">
        <v>191</v>
      </c>
      <c r="J45" s="36" t="s">
        <v>191</v>
      </c>
      <c r="K45" s="36">
        <v>1</v>
      </c>
      <c r="L45" s="35">
        <f t="shared" si="1"/>
        <v>10</v>
      </c>
      <c r="M45" s="69"/>
    </row>
    <row r="46" spans="1:13" ht="48" x14ac:dyDescent="0.25">
      <c r="A46" s="59"/>
      <c r="B46" s="51">
        <f>ROW(B46) - ROW($B$9)</f>
        <v>37</v>
      </c>
      <c r="C46" s="52" t="s">
        <v>13</v>
      </c>
      <c r="D46" s="35" t="s">
        <v>57</v>
      </c>
      <c r="E46" s="35" t="s">
        <v>96</v>
      </c>
      <c r="F46" s="35" t="s">
        <v>190</v>
      </c>
      <c r="G46" s="35" t="s">
        <v>116</v>
      </c>
      <c r="H46" s="35" t="s">
        <v>165</v>
      </c>
      <c r="I46" s="35" t="s">
        <v>191</v>
      </c>
      <c r="J46" s="35" t="s">
        <v>191</v>
      </c>
      <c r="K46" s="35">
        <v>1</v>
      </c>
      <c r="L46" s="35">
        <f t="shared" si="1"/>
        <v>10</v>
      </c>
      <c r="M46" s="69"/>
    </row>
    <row r="47" spans="1:13" ht="36" x14ac:dyDescent="0.25">
      <c r="A47" s="59"/>
      <c r="B47" s="53">
        <f t="shared" si="0"/>
        <v>38</v>
      </c>
      <c r="C47" s="54" t="s">
        <v>19</v>
      </c>
      <c r="D47" s="36" t="s">
        <v>58</v>
      </c>
      <c r="E47" s="36" t="s">
        <v>97</v>
      </c>
      <c r="F47" s="36" t="s">
        <v>117</v>
      </c>
      <c r="G47" s="36" t="s">
        <v>148</v>
      </c>
      <c r="H47" s="36" t="s">
        <v>166</v>
      </c>
      <c r="I47" s="36" t="s">
        <v>191</v>
      </c>
      <c r="J47" s="36" t="s">
        <v>191</v>
      </c>
      <c r="K47" s="36">
        <v>2</v>
      </c>
      <c r="L47" s="35">
        <f t="shared" si="1"/>
        <v>20</v>
      </c>
      <c r="M47" s="69"/>
    </row>
    <row r="48" spans="1:13" ht="24" x14ac:dyDescent="0.25">
      <c r="A48" s="59"/>
      <c r="B48" s="51">
        <f>ROW(B48) - ROW($B$9)</f>
        <v>39</v>
      </c>
      <c r="C48" s="52" t="s">
        <v>19</v>
      </c>
      <c r="D48" s="35" t="s">
        <v>59</v>
      </c>
      <c r="E48" s="35" t="s">
        <v>98</v>
      </c>
      <c r="F48" s="35" t="s">
        <v>118</v>
      </c>
      <c r="G48" s="35" t="s">
        <v>149</v>
      </c>
      <c r="H48" s="35" t="s">
        <v>167</v>
      </c>
      <c r="I48" s="35" t="s">
        <v>191</v>
      </c>
      <c r="J48" s="35" t="s">
        <v>191</v>
      </c>
      <c r="K48" s="35">
        <v>1</v>
      </c>
      <c r="L48" s="35">
        <f t="shared" si="1"/>
        <v>10</v>
      </c>
      <c r="M48" s="69"/>
    </row>
    <row r="49" spans="1:19" ht="24.75" thickBot="1" x14ac:dyDescent="0.3">
      <c r="A49" s="59"/>
      <c r="B49" s="53">
        <f t="shared" si="0"/>
        <v>40</v>
      </c>
      <c r="C49" s="54" t="s">
        <v>19</v>
      </c>
      <c r="D49" s="36" t="s">
        <v>60</v>
      </c>
      <c r="E49" s="36" t="s">
        <v>99</v>
      </c>
      <c r="F49" s="36" t="s">
        <v>119</v>
      </c>
      <c r="G49" s="36" t="s">
        <v>150</v>
      </c>
      <c r="H49" s="36" t="s">
        <v>168</v>
      </c>
      <c r="I49" s="36" t="s">
        <v>191</v>
      </c>
      <c r="J49" s="36" t="s">
        <v>191</v>
      </c>
      <c r="K49" s="36">
        <v>1</v>
      </c>
      <c r="L49" s="35">
        <f t="shared" si="1"/>
        <v>10</v>
      </c>
      <c r="M49" s="70"/>
    </row>
    <row r="50" spans="1:19" s="60" customFormat="1" ht="48" x14ac:dyDescent="0.25">
      <c r="A50" s="59"/>
      <c r="B50" s="53">
        <f t="shared" si="0"/>
        <v>41</v>
      </c>
      <c r="C50" s="54" t="s">
        <v>203</v>
      </c>
      <c r="D50" s="36" t="s">
        <v>191</v>
      </c>
      <c r="E50" s="36" t="s">
        <v>204</v>
      </c>
      <c r="F50" s="36" t="s">
        <v>191</v>
      </c>
      <c r="G50" s="36" t="s">
        <v>205</v>
      </c>
      <c r="H50" s="36" t="s">
        <v>191</v>
      </c>
      <c r="I50" s="36" t="s">
        <v>191</v>
      </c>
      <c r="J50" s="36" t="s">
        <v>191</v>
      </c>
      <c r="K50" s="36">
        <v>1</v>
      </c>
      <c r="L50" s="35">
        <f t="shared" si="1"/>
        <v>10</v>
      </c>
      <c r="M50" s="35"/>
      <c r="N50"/>
      <c r="O50"/>
      <c r="P50"/>
      <c r="Q50"/>
      <c r="R50"/>
      <c r="S50"/>
    </row>
    <row r="51" spans="1:19" x14ac:dyDescent="0.25">
      <c r="A51" s="1"/>
      <c r="B51" s="53">
        <f t="shared" si="0"/>
        <v>42</v>
      </c>
      <c r="C51" s="54" t="s">
        <v>203</v>
      </c>
      <c r="D51" s="36" t="s">
        <v>206</v>
      </c>
      <c r="E51" s="36" t="s">
        <v>207</v>
      </c>
      <c r="F51" s="36" t="s">
        <v>191</v>
      </c>
      <c r="G51" s="36" t="s">
        <v>208</v>
      </c>
      <c r="H51" s="36" t="s">
        <v>191</v>
      </c>
      <c r="I51" s="36" t="s">
        <v>191</v>
      </c>
      <c r="J51" s="36" t="s">
        <v>191</v>
      </c>
      <c r="K51" s="36">
        <v>1</v>
      </c>
      <c r="L51" s="35">
        <f t="shared" si="1"/>
        <v>10</v>
      </c>
      <c r="M51" s="35"/>
    </row>
    <row r="52" spans="1:19" x14ac:dyDescent="0.25">
      <c r="A52" s="1"/>
      <c r="B52" s="53">
        <f t="shared" si="0"/>
        <v>43</v>
      </c>
      <c r="C52" s="54" t="s">
        <v>203</v>
      </c>
      <c r="D52" s="36" t="s">
        <v>206</v>
      </c>
      <c r="E52" s="36" t="s">
        <v>209</v>
      </c>
      <c r="F52" s="36" t="s">
        <v>191</v>
      </c>
      <c r="G52" s="36" t="s">
        <v>191</v>
      </c>
      <c r="H52" s="36" t="s">
        <v>191</v>
      </c>
      <c r="I52" s="36" t="s">
        <v>191</v>
      </c>
      <c r="J52" s="36" t="s">
        <v>191</v>
      </c>
      <c r="K52" s="36">
        <v>1</v>
      </c>
      <c r="L52" s="35">
        <f t="shared" si="1"/>
        <v>10</v>
      </c>
      <c r="M52" s="35"/>
    </row>
    <row r="53" spans="1:19" x14ac:dyDescent="0.25">
      <c r="A53" s="1"/>
      <c r="B53" s="53">
        <f t="shared" si="0"/>
        <v>44</v>
      </c>
      <c r="C53" s="54" t="s">
        <v>203</v>
      </c>
      <c r="D53" s="36" t="s">
        <v>206</v>
      </c>
      <c r="E53" s="36" t="s">
        <v>210</v>
      </c>
      <c r="F53" s="36" t="s">
        <v>191</v>
      </c>
      <c r="G53" s="36" t="s">
        <v>191</v>
      </c>
      <c r="H53" s="36" t="s">
        <v>191</v>
      </c>
      <c r="I53" s="36" t="s">
        <v>191</v>
      </c>
      <c r="J53" s="36" t="s">
        <v>191</v>
      </c>
      <c r="K53" s="36">
        <v>1</v>
      </c>
      <c r="L53" s="35">
        <f t="shared" si="1"/>
        <v>10</v>
      </c>
      <c r="M53" s="35"/>
    </row>
    <row r="54" spans="1:19" ht="48" x14ac:dyDescent="0.25">
      <c r="A54" s="1"/>
      <c r="B54" s="53">
        <f t="shared" si="0"/>
        <v>45</v>
      </c>
      <c r="C54" s="54" t="s">
        <v>203</v>
      </c>
      <c r="D54" s="36" t="s">
        <v>211</v>
      </c>
      <c r="E54" s="36" t="s">
        <v>212</v>
      </c>
      <c r="F54" s="36" t="s">
        <v>191</v>
      </c>
      <c r="G54" s="36" t="s">
        <v>191</v>
      </c>
      <c r="H54" s="36" t="s">
        <v>191</v>
      </c>
      <c r="I54" s="36" t="s">
        <v>191</v>
      </c>
      <c r="J54" s="36" t="s">
        <v>191</v>
      </c>
      <c r="K54" s="36">
        <v>1</v>
      </c>
      <c r="L54" s="35">
        <f t="shared" si="1"/>
        <v>10</v>
      </c>
      <c r="M54" s="35"/>
    </row>
    <row r="55" spans="1:19" x14ac:dyDescent="0.25">
      <c r="A55" s="1"/>
      <c r="B55" s="53">
        <f t="shared" si="0"/>
        <v>46</v>
      </c>
      <c r="C55" s="54" t="s">
        <v>203</v>
      </c>
      <c r="D55" s="36" t="s">
        <v>213</v>
      </c>
      <c r="E55" s="36" t="s">
        <v>214</v>
      </c>
      <c r="F55" s="36" t="s">
        <v>191</v>
      </c>
      <c r="G55" s="36" t="s">
        <v>215</v>
      </c>
      <c r="H55" s="36" t="s">
        <v>191</v>
      </c>
      <c r="I55" s="36" t="s">
        <v>191</v>
      </c>
      <c r="J55" s="36" t="s">
        <v>191</v>
      </c>
      <c r="K55" s="36">
        <v>2</v>
      </c>
      <c r="L55" s="35">
        <f t="shared" si="1"/>
        <v>20</v>
      </c>
      <c r="M55" s="35"/>
    </row>
    <row r="56" spans="1:19" x14ac:dyDescent="0.25">
      <c r="A56" s="1"/>
      <c r="B56" s="61"/>
      <c r="C56" s="62"/>
      <c r="D56" s="63"/>
      <c r="E56" s="64"/>
      <c r="F56" s="65"/>
      <c r="G56" s="66"/>
      <c r="H56" s="65"/>
      <c r="I56" s="66"/>
      <c r="J56" s="66"/>
      <c r="K56" s="66"/>
      <c r="L56" s="74"/>
      <c r="M56" s="74"/>
    </row>
    <row r="57" spans="1:19" ht="15.75" thickBot="1" x14ac:dyDescent="0.3">
      <c r="A57" s="1"/>
      <c r="B57" s="24"/>
      <c r="C57" s="46"/>
      <c r="D57" s="8"/>
      <c r="E57" s="9"/>
      <c r="F57" s="9"/>
      <c r="G57" s="9"/>
      <c r="H57" s="9"/>
      <c r="I57" s="9"/>
      <c r="J57" s="9"/>
      <c r="K57" s="9"/>
      <c r="L57" s="74"/>
      <c r="M57" s="74"/>
    </row>
  </sheetData>
  <mergeCells count="2">
    <mergeCell ref="M3:M8"/>
    <mergeCell ref="L56:M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Boards</vt:lpstr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2023-05-12T15:01:52Z</dcterms:modified>
</cp:coreProperties>
</file>