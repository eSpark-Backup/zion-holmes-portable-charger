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ZionHolmes-PortableCharger\Design Files\Portable-Charger-v1.0\BOM\"/>
    </mc:Choice>
  </mc:AlternateContent>
  <bookViews>
    <workbookView xWindow="28680" yWindow="-120" windowWidth="29040" windowHeight="15840" activeTab="2"/>
  </bookViews>
  <sheets>
    <sheet name="2 Boards" sheetId="2" r:id="rId1"/>
    <sheet name="5 Boards" sheetId="1" r:id="rId2"/>
    <sheet name="10 Boards" sheetId="3" r:id="rId3"/>
  </sheets>
  <calcPr calcId="162913"/>
</workbook>
</file>

<file path=xl/calcChain.xml><?xml version="1.0" encoding="utf-8"?>
<calcChain xmlns="http://schemas.openxmlformats.org/spreadsheetml/2006/main">
  <c r="Q56" i="1" l="1"/>
  <c r="M50" i="3"/>
  <c r="M51" i="3"/>
  <c r="M52" i="3"/>
  <c r="M53" i="3"/>
  <c r="M54" i="3"/>
  <c r="M55" i="3"/>
  <c r="Q51" i="1"/>
  <c r="Q55" i="1"/>
  <c r="M54" i="1"/>
  <c r="Q54" i="1"/>
  <c r="B54" i="1"/>
  <c r="Q55" i="2"/>
  <c r="M55" i="2"/>
  <c r="B55" i="2"/>
  <c r="Q51" i="2"/>
  <c r="Q52" i="2"/>
  <c r="Q53" i="2"/>
  <c r="Q54" i="2"/>
  <c r="M50" i="2"/>
  <c r="M51" i="2"/>
  <c r="M52" i="2"/>
  <c r="M53" i="2"/>
  <c r="M54" i="2"/>
  <c r="Q51" i="3"/>
  <c r="Q52" i="3"/>
  <c r="Q53" i="3"/>
  <c r="Q54" i="3"/>
  <c r="Q55" i="3"/>
  <c r="B53" i="3"/>
  <c r="B55" i="3"/>
  <c r="B54" i="3"/>
  <c r="B52" i="3"/>
  <c r="B51" i="3"/>
  <c r="Q50" i="3"/>
  <c r="B50" i="3"/>
  <c r="B54" i="2"/>
  <c r="B53" i="2"/>
  <c r="B52" i="2"/>
  <c r="B51" i="2"/>
  <c r="Q50" i="2"/>
  <c r="B50" i="2"/>
  <c r="M50" i="1"/>
  <c r="M51" i="1"/>
  <c r="M52" i="1"/>
  <c r="M53" i="1"/>
  <c r="M55" i="1"/>
  <c r="Q50" i="1"/>
  <c r="B50" i="1"/>
  <c r="B51" i="1"/>
  <c r="B52" i="1"/>
  <c r="B53" i="1"/>
  <c r="B55" i="1"/>
  <c r="M11" i="3" l="1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10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10" i="2"/>
  <c r="Q49" i="3"/>
  <c r="B49" i="3"/>
  <c r="Q48" i="3"/>
  <c r="B48" i="3"/>
  <c r="Q47" i="3"/>
  <c r="B47" i="3"/>
  <c r="Q46" i="3"/>
  <c r="B46" i="3"/>
  <c r="Q45" i="3"/>
  <c r="B45" i="3"/>
  <c r="Q44" i="3"/>
  <c r="B44" i="3"/>
  <c r="Q43" i="3"/>
  <c r="B43" i="3"/>
  <c r="Q42" i="3"/>
  <c r="B42" i="3"/>
  <c r="Q41" i="3"/>
  <c r="B41" i="3"/>
  <c r="Q40" i="3"/>
  <c r="B40" i="3"/>
  <c r="Q39" i="3"/>
  <c r="B39" i="3"/>
  <c r="Q38" i="3"/>
  <c r="B38" i="3"/>
  <c r="Q37" i="3"/>
  <c r="B37" i="3"/>
  <c r="Q36" i="3"/>
  <c r="B36" i="3"/>
  <c r="Q35" i="3"/>
  <c r="B35" i="3"/>
  <c r="Q34" i="3"/>
  <c r="B34" i="3"/>
  <c r="B33" i="3"/>
  <c r="Q32" i="3"/>
  <c r="B32" i="3"/>
  <c r="Q31" i="3"/>
  <c r="B31" i="3"/>
  <c r="Q30" i="3"/>
  <c r="B30" i="3"/>
  <c r="Q29" i="3"/>
  <c r="B29" i="3"/>
  <c r="B28" i="3"/>
  <c r="B27" i="3"/>
  <c r="B26" i="3"/>
  <c r="Q25" i="3"/>
  <c r="B25" i="3"/>
  <c r="Q24" i="3"/>
  <c r="B24" i="3"/>
  <c r="Q23" i="3"/>
  <c r="B23" i="3"/>
  <c r="Q22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Q56" i="3" s="1"/>
  <c r="B10" i="3"/>
  <c r="Q49" i="2"/>
  <c r="B49" i="2"/>
  <c r="Q48" i="2"/>
  <c r="B48" i="2"/>
  <c r="Q47" i="2"/>
  <c r="B47" i="2"/>
  <c r="Q46" i="2"/>
  <c r="B46" i="2"/>
  <c r="Q45" i="2"/>
  <c r="B45" i="2"/>
  <c r="Q44" i="2"/>
  <c r="B44" i="2"/>
  <c r="Q43" i="2"/>
  <c r="B43" i="2"/>
  <c r="Q42" i="2"/>
  <c r="B42" i="2"/>
  <c r="Q41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B33" i="2"/>
  <c r="Q32" i="2"/>
  <c r="B32" i="2"/>
  <c r="Q31" i="2"/>
  <c r="B31" i="2"/>
  <c r="Q30" i="2"/>
  <c r="B30" i="2"/>
  <c r="Q29" i="2"/>
  <c r="B29" i="2"/>
  <c r="B28" i="2"/>
  <c r="B27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Q56" i="2" s="1"/>
  <c r="B10" i="2"/>
  <c r="Q57" i="2" l="1"/>
  <c r="Q57" i="3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M28" i="1"/>
  <c r="B28" i="1"/>
  <c r="M27" i="1"/>
  <c r="B27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 l="1"/>
  <c r="Q10" i="1"/>
  <c r="Q57" i="1" s="1"/>
  <c r="M11" i="1"/>
  <c r="M10" i="1"/>
  <c r="B11" i="1"/>
  <c r="B10" i="1"/>
</calcChain>
</file>

<file path=xl/sharedStrings.xml><?xml version="1.0" encoding="utf-8"?>
<sst xmlns="http://schemas.openxmlformats.org/spreadsheetml/2006/main" count="1476" uniqueCount="268">
  <si>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</si>
  <si>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</si>
  <si>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</si>
  <si>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</si>
  <si>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</si>
  <si>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</si>
  <si>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</si>
  <si>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</si>
  <si>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</si>
  <si>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</si>
  <si>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</si>
  <si>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JST Connector</t>
  </si>
  <si>
    <t>THrough Hole Pads</t>
  </si>
  <si>
    <t>USB Connector</t>
  </si>
  <si>
    <t>Pogo Conector</t>
  </si>
  <si>
    <t>Inductor</t>
  </si>
  <si>
    <t>LED</t>
  </si>
  <si>
    <t>TEST POINT</t>
  </si>
  <si>
    <t>Resistor</t>
  </si>
  <si>
    <t>IC</t>
  </si>
  <si>
    <t>Designator</t>
  </si>
  <si>
    <t>C1, C2, C3</t>
  </si>
  <si>
    <t>C4, C6, C7, C14, C16, C17, C25, C26, C30, C33, C36</t>
  </si>
  <si>
    <t>C5, C15</t>
  </si>
  <si>
    <t>C8, C9, C10, C11, C12, C13, C19, C28, C29</t>
  </si>
  <si>
    <t>C18</t>
  </si>
  <si>
    <t>C20, C21, C27</t>
  </si>
  <si>
    <t>C22</t>
  </si>
  <si>
    <t>C23</t>
  </si>
  <si>
    <t>C24</t>
  </si>
  <si>
    <t>C31</t>
  </si>
  <si>
    <t>C32</t>
  </si>
  <si>
    <t>C34, C35</t>
  </si>
  <si>
    <t>D1</t>
  </si>
  <si>
    <t>J1</t>
  </si>
  <si>
    <t>J2, J6</t>
  </si>
  <si>
    <t>J3</t>
  </si>
  <si>
    <t>J4</t>
  </si>
  <si>
    <t>J5</t>
  </si>
  <si>
    <t>J7</t>
  </si>
  <si>
    <t>L1</t>
  </si>
  <si>
    <t>LED1, LED4, LED6</t>
  </si>
  <si>
    <t>LED2</t>
  </si>
  <si>
    <t>LED3, LED5</t>
  </si>
  <si>
    <t>P1</t>
  </si>
  <si>
    <t>R1</t>
  </si>
  <si>
    <t>R2, R3, R11</t>
  </si>
  <si>
    <t>R4</t>
  </si>
  <si>
    <t>R5, R12, R13</t>
  </si>
  <si>
    <t>R6, R7</t>
  </si>
  <si>
    <t>R8</t>
  </si>
  <si>
    <t>R9, R14</t>
  </si>
  <si>
    <t>R10</t>
  </si>
  <si>
    <t>R15</t>
  </si>
  <si>
    <t>R16</t>
  </si>
  <si>
    <t>SW1</t>
  </si>
  <si>
    <t>U1</t>
  </si>
  <si>
    <t>U2</t>
  </si>
  <si>
    <t>U3, U4</t>
  </si>
  <si>
    <t>U5</t>
  </si>
  <si>
    <t>U6</t>
  </si>
  <si>
    <t>Description</t>
  </si>
  <si>
    <t>CAP CER 330PF 50V C0G/NPO 0603</t>
  </si>
  <si>
    <t>CAP CER 0.1UF 50V X5R 0603</t>
  </si>
  <si>
    <t>CAP CER 10UF 16V X5R 0603</t>
  </si>
  <si>
    <t>CAP CER 22UF 25V X5R 0805</t>
  </si>
  <si>
    <t>CAP CER 1000PF 25V X7R 0402</t>
  </si>
  <si>
    <t>CAP CER 0.015UF 50V X7R 0603</t>
  </si>
  <si>
    <t>400nF ±5% 100V Plugin,P=7.5mm Polypropylene Film Capacitors (CBB) ROHS</t>
  </si>
  <si>
    <t>150nF ±5% 100V Plugin,P=5mm Polypropylene Film Capacitors (CBB) ROHS</t>
  </si>
  <si>
    <t>250nF ±5% 100V Plugin,P=7.5mm Polypropylene Film Capacitors (CBB) ROHS</t>
  </si>
  <si>
    <t>CAP CER 2200PF 50V X7R 0603</t>
  </si>
  <si>
    <t>CAP CER 2.2UF 25V X5R 0603</t>
  </si>
  <si>
    <t>CAP CER 22UF 10V X5R 0603</t>
  </si>
  <si>
    <t>DIODE SCHOTTKY 40V 1A SOD123</t>
  </si>
  <si>
    <t>CONN HEADER VERT 2POS 2.5MM</t>
  </si>
  <si>
    <t>Wire Connecting Pad</t>
  </si>
  <si>
    <t>250mA 1 16 Female Type-C SMD USB Connectors ROHS</t>
  </si>
  <si>
    <t>4pin spring loaded right angle bended pogo pin connectorPopular</t>
  </si>
  <si>
    <t>14A 2.2uH ±20% SMD,10.1x10.1mm Power Inductors ROHS</t>
  </si>
  <si>
    <t>Emerald 0603 Light Emitting Diodes (LED) ROHS</t>
  </si>
  <si>
    <t>0603(H=0.4mm) λD=600.5~612.5nm VR=5V VF=1.7V~2.2V IF=25mA PD=60mW</t>
  </si>
  <si>
    <t>0603 Light Emitting Diodes (LED) ROHS</t>
  </si>
  <si>
    <t>Test Point ON</t>
  </si>
  <si>
    <t>1W 5mΩ ±1% 1206 Current Sense Resistors/Shunt Resistors ROHS</t>
  </si>
  <si>
    <t>RES SMD 10K OHM 0.1% 1/10W 0603</t>
  </si>
  <si>
    <t>RES 20K OHM 1% 1/10W 0603</t>
  </si>
  <si>
    <t>RES SMD 1K OHM 1% 1/10W 0603</t>
  </si>
  <si>
    <t>RES 100K OHM 5% 1/10W 0603</t>
  </si>
  <si>
    <t>RES SMD 3.3K OHM 1% 1/10W 0603</t>
  </si>
  <si>
    <t>RES SMD 100K OHM 0.1% 1/10W 0603</t>
  </si>
  <si>
    <t>RES SMD 33K OHM 0.1% 1/10W 0603</t>
  </si>
  <si>
    <t>RES 0.02 OHM 1% 1/2W 0603</t>
  </si>
  <si>
    <t>RES SMD 1K 0.1W 0603  75 V, Thick Film</t>
  </si>
  <si>
    <t>Tactile Switches SMT Top Push 0.9mm 7N Trav 100m Yellow</t>
  </si>
  <si>
    <t>PMIC 22.5W Power Bank</t>
  </si>
  <si>
    <t>USB 2.0 5A 1 235℃ Sink board 4 Female -25℃~+85℃ Gold Copper Alloy Type-A Plugin USB Connectors ROHS</t>
  </si>
  <si>
    <t>20V 6A 22mΩ@4.5V,4.5A 2W 2PCSNChannel(Common Drain) SOT-23-6 MOSFETs ROHS</t>
  </si>
  <si>
    <t>QFN-32-EP(5x5) Wireless Charge-Discharge ICs ROHS</t>
  </si>
  <si>
    <t>One Cell Lithium-ion/Polymer Battery Protection IC</t>
  </si>
  <si>
    <t>Footprint</t>
  </si>
  <si>
    <t>Cap-0603</t>
  </si>
  <si>
    <t>Cap-0805</t>
  </si>
  <si>
    <t>Cap-0402</t>
  </si>
  <si>
    <t>MPP404J2A0702</t>
  </si>
  <si>
    <t>PE154J2A0502</t>
  </si>
  <si>
    <t>MPP254J100V82CB0035</t>
  </si>
  <si>
    <t>CAP-0603</t>
  </si>
  <si>
    <t>SOD-123</t>
  </si>
  <si>
    <t>2P THrough Hole Pads</t>
  </si>
  <si>
    <t>4 PIN Right Angle Pogo Connector</t>
  </si>
  <si>
    <t>YSPI1040-2R2M</t>
  </si>
  <si>
    <t>LED-0603</t>
  </si>
  <si>
    <t>Res-1206</t>
  </si>
  <si>
    <t>Res-0603</t>
  </si>
  <si>
    <t>48-QFN (6x6)_</t>
  </si>
  <si>
    <t>U224-051N-3GRA035</t>
  </si>
  <si>
    <t>SOT-23-6</t>
  </si>
  <si>
    <t>32-QFN</t>
  </si>
  <si>
    <t>8-SO-EP_</t>
  </si>
  <si>
    <t>Manufacturer Part Number</t>
  </si>
  <si>
    <t>CC0603JRNPO9BN331</t>
  </si>
  <si>
    <t>CC0603KRX5R9BB104</t>
  </si>
  <si>
    <t>CC0603KRX5R7BB106</t>
  </si>
  <si>
    <t>CC0805MKX5R8BB226</t>
  </si>
  <si>
    <t>CC0402KRX7R8BB102</t>
  </si>
  <si>
    <t>CC0603JRX7R9BB153</t>
  </si>
  <si>
    <t>CC0603KRX7R9BB222</t>
  </si>
  <si>
    <t>CC0603KRX5R8BB225</t>
  </si>
  <si>
    <t>CC0603MRX5R6BB226</t>
  </si>
  <si>
    <t>1N5819HW-7-F</t>
  </si>
  <si>
    <t>B2B-EH-A(LF)(SN)</t>
  </si>
  <si>
    <t>TYPE-C-31-M-12</t>
  </si>
  <si>
    <t>NCD0603G2</t>
  </si>
  <si>
    <t>19-217/S2C-AQ1R1B/3T</t>
  </si>
  <si>
    <t>NCD0603R3</t>
  </si>
  <si>
    <t>CUM1206-15FR005</t>
  </si>
  <si>
    <t>RT0603BRD0710KL</t>
  </si>
  <si>
    <t>RC0603FR-0720KL</t>
  </si>
  <si>
    <t>RC0603FR-071KL</t>
  </si>
  <si>
    <t>RC0603JR-07100KL</t>
  </si>
  <si>
    <t>RC0603FR-073K3L</t>
  </si>
  <si>
    <t>RT0603BRD07100KL</t>
  </si>
  <si>
    <t>RT0603BRD0733KL</t>
  </si>
  <si>
    <t>PE0603FRF570R02L</t>
  </si>
  <si>
    <t>RC0603JR-071KL</t>
  </si>
  <si>
    <t>SKSTACE010</t>
  </si>
  <si>
    <t>SW6208</t>
  </si>
  <si>
    <t>.8205A</t>
  </si>
  <si>
    <t>IP6826</t>
  </si>
  <si>
    <t>XB8889A</t>
  </si>
  <si>
    <t>Manufacturer</t>
  </si>
  <si>
    <t>Yageo</t>
  </si>
  <si>
    <t>KYET</t>
  </si>
  <si>
    <t>KNSCHA</t>
  </si>
  <si>
    <t>Diodes</t>
  </si>
  <si>
    <t>JST</t>
  </si>
  <si>
    <t>Korean Hroparts Elec</t>
  </si>
  <si>
    <t>YJYCOIN</t>
  </si>
  <si>
    <t>Foshan NationStar Optoelectronics</t>
  </si>
  <si>
    <t>Everlight</t>
  </si>
  <si>
    <t>FORT</t>
  </si>
  <si>
    <t>Yageo Phycomp</t>
  </si>
  <si>
    <t>Alps Electric</t>
  </si>
  <si>
    <t>ZHUHAI ISMARTWARE TECHNOLOGYCO., LTD.</t>
  </si>
  <si>
    <t>XKB Connectivity</t>
  </si>
  <si>
    <t>Shenzhen Fuman Elec</t>
  </si>
  <si>
    <t>INJOINIC</t>
  </si>
  <si>
    <t>Xysemi</t>
  </si>
  <si>
    <t>LCSC Part Number</t>
  </si>
  <si>
    <t>C62784</t>
  </si>
  <si>
    <t>C2936601</t>
  </si>
  <si>
    <t>C784585</t>
  </si>
  <si>
    <t>C541372</t>
  </si>
  <si>
    <t>C519550</t>
  </si>
  <si>
    <t>C3019095</t>
  </si>
  <si>
    <t>C478434</t>
  </si>
  <si>
    <t>C3034846</t>
  </si>
  <si>
    <t>C107082</t>
  </si>
  <si>
    <t>C309478</t>
  </si>
  <si>
    <t>C109447</t>
  </si>
  <si>
    <t>C82544</t>
  </si>
  <si>
    <t>C160262</t>
  </si>
  <si>
    <t>C165948</t>
  </si>
  <si>
    <t>C351101</t>
  </si>
  <si>
    <t>C87326</t>
  </si>
  <si>
    <t>C146215</t>
  </si>
  <si>
    <t>C3151730</t>
  </si>
  <si>
    <t>C5185588</t>
  </si>
  <si>
    <t>C95204</t>
  </si>
  <si>
    <t>C105575</t>
  </si>
  <si>
    <t>C22548</t>
  </si>
  <si>
    <t>C100048</t>
  </si>
  <si>
    <t>C108078</t>
  </si>
  <si>
    <t>C122538</t>
  </si>
  <si>
    <t>C705768</t>
  </si>
  <si>
    <t>C1730619</t>
  </si>
  <si>
    <t>C14676</t>
  </si>
  <si>
    <t>C341731</t>
  </si>
  <si>
    <t>C2689740</t>
  </si>
  <si>
    <t>C841290</t>
  </si>
  <si>
    <t>C2921390</t>
  </si>
  <si>
    <t>330pF</t>
  </si>
  <si>
    <t>100nF</t>
  </si>
  <si>
    <t>10uF</t>
  </si>
  <si>
    <t>22uF</t>
  </si>
  <si>
    <t>1nF</t>
  </si>
  <si>
    <t>15nF</t>
  </si>
  <si>
    <t>400nF</t>
  </si>
  <si>
    <t>150nF</t>
  </si>
  <si>
    <t>250nF</t>
  </si>
  <si>
    <t>2.2nF</t>
  </si>
  <si>
    <t>2.2uF</t>
  </si>
  <si>
    <t>2.2uH</t>
  </si>
  <si>
    <t>5mR</t>
  </si>
  <si>
    <t>10K</t>
  </si>
  <si>
    <t>20K</t>
  </si>
  <si>
    <t>1K</t>
  </si>
  <si>
    <t>100K</t>
  </si>
  <si>
    <t>3.3K</t>
  </si>
  <si>
    <t>33K</t>
  </si>
  <si>
    <t>20mR</t>
  </si>
  <si>
    <t>Quantity</t>
  </si>
  <si>
    <t>Alternate Part Number</t>
  </si>
  <si>
    <t>Switch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</si>
  <si>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</si>
  <si>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</si>
  <si>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</si>
  <si>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</si>
  <si>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</si>
  <si>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</si>
  <si>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</si>
  <si>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</si>
  <si>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Value</t>
  </si>
  <si>
    <t>Custom</t>
  </si>
  <si>
    <t>Bill of Materials for Project [Portable-Charger-v1.0.]</t>
  </si>
  <si>
    <t>Portable-Charger-v1.0.]</t>
  </si>
  <si>
    <t>C669685</t>
  </si>
  <si>
    <t>Quantity (2 Boards)</t>
  </si>
  <si>
    <t>MOQ (2 Boards)</t>
  </si>
  <si>
    <t>Unit Cost (2 Boards)</t>
  </si>
  <si>
    <t>Total Cost (2 Boards)</t>
  </si>
  <si>
    <t>Quantity (10 Boards)</t>
  </si>
  <si>
    <t>MOQ (10 Boards)</t>
  </si>
  <si>
    <t>Unit Cost (10 Boards)</t>
  </si>
  <si>
    <t>Total Cost (10 Boards)</t>
  </si>
  <si>
    <t>LCSC</t>
  </si>
  <si>
    <t>CC0603KRX7R9BB104</t>
  </si>
  <si>
    <t>C14663</t>
  </si>
  <si>
    <t>Non Stock On LCSC</t>
  </si>
  <si>
    <t>Peripheral</t>
  </si>
  <si>
    <t>Battery</t>
  </si>
  <si>
    <t xml:space="preserve">Coil </t>
  </si>
  <si>
    <t>Aliexpress</t>
  </si>
  <si>
    <t>3 3.7V 10000mAh Rechargeable Lithium Polymer Battery For DVD GPS Digital Camera PDA E-book Tablet Power Bank Lipo Cells</t>
  </si>
  <si>
    <t>Power Supply</t>
  </si>
  <si>
    <t>Meanwell Switching Power Supply LRS-200-5V 12V 24V 36V 48V MEANWELL AC/DC 200W Single Output</t>
  </si>
  <si>
    <t>6.3uH with 400nF</t>
  </si>
  <si>
    <t>Coil</t>
  </si>
  <si>
    <t>YX-A11-R500800-R0845</t>
  </si>
  <si>
    <t>13uH with 150nF</t>
  </si>
  <si>
    <t>10uH with 250uF</t>
  </si>
  <si>
    <t xml:space="preserve">Source from Custom Supplier </t>
  </si>
  <si>
    <t>NTC Thermistor</t>
  </si>
  <si>
    <t>Plugin NTC Thermistors ROHS</t>
  </si>
  <si>
    <t>MT52B104F3950F01000</t>
  </si>
  <si>
    <t>C424425</t>
  </si>
  <si>
    <t>C3000140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</si>
</sst>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165" fontId="24" fillId="2" borderId="17" xfId="0" applyNumberFormat="1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165" fontId="24" fillId="2" borderId="16" xfId="0" applyNumberFormat="1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22" fillId="5" borderId="17" xfId="1" applyFill="1" applyBorder="1" applyAlignment="1">
      <alignment horizontal="center" vertical="center" wrapText="1"/>
    </xf>
    <xf numFmtId="165" fontId="18" fillId="5" borderId="17" xfId="0" applyNumberFormat="1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8216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8216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Wire-To-Board-Wire-To-Wire-Connector_JST-Sales-America-B2B-EH-A-LF-SN_C160262.html" TargetMode="External"/><Relationship Id="rId18" Type="http://schemas.openxmlformats.org/officeDocument/2006/relationships/hyperlink" Target="https://www.lcsc.com/product-detail/Light-Emitting-Diodes-LED_Foshan-NationStar-Optoelectronics-NCD0603R3_C3151730.html" TargetMode="External"/><Relationship Id="rId26" Type="http://schemas.openxmlformats.org/officeDocument/2006/relationships/hyperlink" Target="https://www.lcsc.com/product-detail/Chip-Resistor-Surface-Mount_YAGEO-RT0603BRD0733KL_C705768.html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www.lcsc.com/product-detail/Chip-Resistor-Surface-Mount_YAGEO-RC0603FR-0720KL_C105575.html" TargetMode="External"/><Relationship Id="rId34" Type="http://schemas.openxmlformats.org/officeDocument/2006/relationships/hyperlink" Target="https://www.lcsc.com/product-detail/Battery-Management-ICs_XySemi-XB8889A_C669685.html" TargetMode="External"/><Relationship Id="rId7" Type="http://schemas.openxmlformats.org/officeDocument/2006/relationships/hyperlink" Target="https://www.lcsc.com/product-detail/Polypropylene-Film-Capacitors-CBB_KYET-PE154J2A0502_C478434.html" TargetMode="External"/><Relationship Id="rId12" Type="http://schemas.openxmlformats.org/officeDocument/2006/relationships/hyperlink" Target="https://www.lcsc.com/product-detail/Schottky-Barrier-Diodes-SBD_Diodes-Incorporated-1N5819HW-7-F_C82544.html" TargetMode="External"/><Relationship Id="rId17" Type="http://schemas.openxmlformats.org/officeDocument/2006/relationships/hyperlink" Target="https://www.lcsc.com/product-detail/Light-Emitting-Diodes-LED_Everlight-Elec-19-217-S2C-AQ1R1B-3T_C146215.html" TargetMode="External"/><Relationship Id="rId25" Type="http://schemas.openxmlformats.org/officeDocument/2006/relationships/hyperlink" Target="https://www.lcsc.com/product-detail/Chip-Resistor-Surface-Mount_YAGEO-RT0603BRD07100KL_C122538.html" TargetMode="External"/><Relationship Id="rId33" Type="http://schemas.openxmlformats.org/officeDocument/2006/relationships/hyperlink" Target="https://www.lcsc.com/product-detail/Multilayer-Ceramic-Capacitors-MLCC-SMD-SMT_YAGEO-CC0603KRX7R9BB104_C14663.html" TargetMode="External"/><Relationship Id="rId38" Type="http://schemas.openxmlformats.org/officeDocument/2006/relationships/hyperlink" Target="https://www.lcsc.com/product-detail/NTC-Thermistors_STE-Songtian-Elec-MT52B104F3950F01000_C3000140.html" TargetMode="External"/><Relationship Id="rId2" Type="http://schemas.openxmlformats.org/officeDocument/2006/relationships/hyperlink" Target="https://www.lcsc.com/product-detail/Multilayer-Ceramic-Capacitors-MLCC-SMD-SMT_YAGEO-CC0603KRX5R7BB106_C2936601.html" TargetMode="External"/><Relationship Id="rId16" Type="http://schemas.openxmlformats.org/officeDocument/2006/relationships/hyperlink" Target="https://www.lcsc.com/product-detail/Light-Emitting-Diodes-LED_Foshan-NationStar-Optoelectronics-NCD0603G2_C87326.html" TargetMode="External"/><Relationship Id="rId20" Type="http://schemas.openxmlformats.org/officeDocument/2006/relationships/hyperlink" Target="https://www.lcsc.com/product-detail/Chip-Resistor-Surface-Mount_YAGEO-RT0603BRD0710KL_C95204.html" TargetMode="External"/><Relationship Id="rId29" Type="http://schemas.openxmlformats.org/officeDocument/2006/relationships/hyperlink" Target="https://www.lcsc.com/product-detail/Tactile-Switches_ALPSALPINE-SKSTACE010_C341731.html" TargetMode="External"/><Relationship Id="rId1" Type="http://schemas.openxmlformats.org/officeDocument/2006/relationships/hyperlink" Target="https://www.lcsc.com/product-detail/Multilayer-Ceramic-Capacitors-MLCC-SMD-SMT_YAGEO-CC0603JRNPO9BN331_C62784.html" TargetMode="External"/><Relationship Id="rId6" Type="http://schemas.openxmlformats.org/officeDocument/2006/relationships/hyperlink" Target="https://www.lcsc.com/product-detail/Polypropylene-Film-Capacitors-CBB_KYET-MPP404J2A0702_C3019095.html" TargetMode="External"/><Relationship Id="rId11" Type="http://schemas.openxmlformats.org/officeDocument/2006/relationships/hyperlink" Target="https://www.lcsc.com/product-detail/Multilayer-Ceramic-Capacitors-MLCC-SMD-SMT_YAGEO-CC0603MRX5R6BB226_C109447.html" TargetMode="External"/><Relationship Id="rId24" Type="http://schemas.openxmlformats.org/officeDocument/2006/relationships/hyperlink" Target="https://www.lcsc.com/product-detail/Chip-Resistor-Surface-Mount_YAGEO-RC0603FR-073K3L_C108078.html" TargetMode="External"/><Relationship Id="rId32" Type="http://schemas.openxmlformats.org/officeDocument/2006/relationships/hyperlink" Target="https://www.lcsc.com/product-detail/Wireless-Charge-Discharge-ICs_INJOINIC-IP6826_C2921390.html" TargetMode="External"/><Relationship Id="rId37" Type="http://schemas.openxmlformats.org/officeDocument/2006/relationships/hyperlink" Target="https://www.lcsc.com/product-detail/Wireless-Charging-Coils_CND-tek-YX-A11-R500800-R0845_C424425.html" TargetMode="External"/><Relationship Id="rId5" Type="http://schemas.openxmlformats.org/officeDocument/2006/relationships/hyperlink" Target="https://www.lcsc.com/product-detail/Multilayer-Ceramic-Capacitors-MLCC-SMD-SMT_YAGEO-CC0603JRX7R9BB153_C519550.html" TargetMode="External"/><Relationship Id="rId15" Type="http://schemas.openxmlformats.org/officeDocument/2006/relationships/hyperlink" Target="https://www.lcsc.com/product-detail/Power-Inductors_YJYCOIN-YSPI1040-2R2M_C351101.html" TargetMode="External"/><Relationship Id="rId23" Type="http://schemas.openxmlformats.org/officeDocument/2006/relationships/hyperlink" Target="https://www.lcsc.com/product-detail/Chip-Resistor-Surface-Mount_YAGEO-RC0603JR-07100KL_C100048.html" TargetMode="External"/><Relationship Id="rId28" Type="http://schemas.openxmlformats.org/officeDocument/2006/relationships/hyperlink" Target="https://www.lcsc.com/product-detail/Chip-Resistor-Surface-Mount_YAGEO-RC0603JR-071KL_C14676.html" TargetMode="External"/><Relationship Id="rId36" Type="http://schemas.openxmlformats.org/officeDocument/2006/relationships/hyperlink" Target="https://vi.aliexpress.com/item/1005004771007786.html?spm=a2g0o.productlist.main.3.520a2ec1sTeyzG&amp;algo_pvid=84f242b7-eae4-422a-83f4-39c3ec3b431c&amp;algo_exp_id=84f242b7-eae4-422a-83f4-39c3ec3b431c-1&amp;pdp_npi=3%40dis%21USD%2143.6%2135.32%21%21%21%21%21%4021227e" TargetMode="External"/><Relationship Id="rId10" Type="http://schemas.openxmlformats.org/officeDocument/2006/relationships/hyperlink" Target="https://www.lcsc.com/product-detail/Multilayer-Ceramic-Capacitors-MLCC-SMD-SMT_YAGEO-CC0603KRX5R8BB225_C309478.html" TargetMode="External"/><Relationship Id="rId19" Type="http://schemas.openxmlformats.org/officeDocument/2006/relationships/hyperlink" Target="https://www.lcsc.com/product-detail/Current-Sense-Resistors-Shunt-Resistors_FORT-CUM1206-15FR005_C5185588.html" TargetMode="External"/><Relationship Id="rId31" Type="http://schemas.openxmlformats.org/officeDocument/2006/relationships/hyperlink" Target="https://www.lcsc.com/product-detail/MOSFETs_Shenzhen-Fuman-Elec-8205A_C841290.html" TargetMode="External"/><Relationship Id="rId4" Type="http://schemas.openxmlformats.org/officeDocument/2006/relationships/hyperlink" Target="https://www.lcsc.com/product-detail/Multilayer-Ceramic-Capacitors-MLCC-SMD-SMT_YAGEO-CC0402KRX7R8BB102_C541372.html" TargetMode="External"/><Relationship Id="rId9" Type="http://schemas.openxmlformats.org/officeDocument/2006/relationships/hyperlink" Target="https://www.lcsc.com/product-detail/Multilayer-Ceramic-Capacitors-MLCC-SMD-SMT_YAGEO-CC0603KRX7R9BB222_C107082.html" TargetMode="External"/><Relationship Id="rId14" Type="http://schemas.openxmlformats.org/officeDocument/2006/relationships/hyperlink" Target="https://www.lcsc.com/product-detail/USB-Connectors_Korean-Hroparts-Elec-TYPE-C-31-M-12_C165948.html" TargetMode="External"/><Relationship Id="rId22" Type="http://schemas.openxmlformats.org/officeDocument/2006/relationships/hyperlink" Target="https://www.lcsc.com/product-detail/Chip-Resistor-Surface-Mount_YAGEO-RC0603FR-071KL_C22548.html" TargetMode="External"/><Relationship Id="rId27" Type="http://schemas.openxmlformats.org/officeDocument/2006/relationships/hyperlink" Target="https://www.lcsc.com/product-detail/Chip-Resistor-Surface-Mount_YAGEO-PE0603FRF570R02L_C1730619.html" TargetMode="External"/><Relationship Id="rId30" Type="http://schemas.openxmlformats.org/officeDocument/2006/relationships/hyperlink" Target="https://www.lcsc.com/product-detail/USB-Connectors_XKB-Connectivity-U224-051N-3GRA035_C2689740.html" TargetMode="External"/><Relationship Id="rId35" Type="http://schemas.openxmlformats.org/officeDocument/2006/relationships/hyperlink" Target="https://vi.aliexpress.com/item/1005004177481925.html" TargetMode="External"/><Relationship Id="rId8" Type="http://schemas.openxmlformats.org/officeDocument/2006/relationships/hyperlink" Target="https://www.lcsc.com/product-detail/Polypropylene-Film-Capacitors-CBB_KNSCHA-MPP254J100V82CB0035_C3034846.html" TargetMode="External"/><Relationship Id="rId3" Type="http://schemas.openxmlformats.org/officeDocument/2006/relationships/hyperlink" Target="https://www.lcsc.com/product-detail/Multilayer-Ceramic-Capacitors-MLCC-SMD-SMT_YAGEO-CC0805MKX5R8BB226_C784585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Wire-To-Board-Wire-To-Wire-Connector_JST-Sales-America-B2B-EH-A-LF-SN_C160262.html" TargetMode="External"/><Relationship Id="rId18" Type="http://schemas.openxmlformats.org/officeDocument/2006/relationships/hyperlink" Target="https://www.lcsc.com/product-detail/Light-Emitting-Diodes-LED_Foshan-NationStar-Optoelectronics-NCD0603R3_C3151730.html" TargetMode="External"/><Relationship Id="rId26" Type="http://schemas.openxmlformats.org/officeDocument/2006/relationships/hyperlink" Target="https://www.lcsc.com/product-detail/Chip-Resistor-Surface-Mount_YAGEO-RT0603BRD0733KL_C705768.html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lcsc.com/product-detail/Chip-Resistor-Surface-Mount_YAGEO-RC0603FR-0720KL_C105575.html" TargetMode="External"/><Relationship Id="rId34" Type="http://schemas.openxmlformats.org/officeDocument/2006/relationships/hyperlink" Target="https://www.lcsc.com/product-detail/Battery-Management-ICs_XySemi-XB8889A_C669685.html" TargetMode="External"/><Relationship Id="rId7" Type="http://schemas.openxmlformats.org/officeDocument/2006/relationships/hyperlink" Target="https://www.lcsc.com/product-detail/Polypropylene-Film-Capacitors-CBB_KYET-PE154J2A0502_C478434.html" TargetMode="External"/><Relationship Id="rId12" Type="http://schemas.openxmlformats.org/officeDocument/2006/relationships/hyperlink" Target="https://www.lcsc.com/product-detail/Schottky-Barrier-Diodes-SBD_Diodes-Incorporated-1N5819HW-7-F_C82544.html" TargetMode="External"/><Relationship Id="rId17" Type="http://schemas.openxmlformats.org/officeDocument/2006/relationships/hyperlink" Target="https://www.lcsc.com/product-detail/Light-Emitting-Diodes-LED_Everlight-Elec-19-217-S2C-AQ1R1B-3T_C146215.html" TargetMode="External"/><Relationship Id="rId25" Type="http://schemas.openxmlformats.org/officeDocument/2006/relationships/hyperlink" Target="https://www.lcsc.com/product-detail/Chip-Resistor-Surface-Mount_YAGEO-RT0603BRD07100KL_C122538.html" TargetMode="External"/><Relationship Id="rId33" Type="http://schemas.openxmlformats.org/officeDocument/2006/relationships/hyperlink" Target="https://www.lcsc.com/product-detail/Multilayer-Ceramic-Capacitors-MLCC-SMD-SMT_YAGEO-CC0603KRX7R9BB104_C14663.html" TargetMode="External"/><Relationship Id="rId38" Type="http://schemas.openxmlformats.org/officeDocument/2006/relationships/hyperlink" Target="https://www.lcsc.com/product-detail/Wireless-Charging-Coils_CND-tek-YX-A11-R500800-R0845_C424425.html" TargetMode="External"/><Relationship Id="rId2" Type="http://schemas.openxmlformats.org/officeDocument/2006/relationships/hyperlink" Target="https://www.lcsc.com/product-detail/Multilayer-Ceramic-Capacitors-MLCC-SMD-SMT_YAGEO-CC0603KRX5R7BB106_C2936601.html" TargetMode="External"/><Relationship Id="rId16" Type="http://schemas.openxmlformats.org/officeDocument/2006/relationships/hyperlink" Target="https://www.lcsc.com/product-detail/Light-Emitting-Diodes-LED_Foshan-NationStar-Optoelectronics-NCD0603G2_C87326.html" TargetMode="External"/><Relationship Id="rId20" Type="http://schemas.openxmlformats.org/officeDocument/2006/relationships/hyperlink" Target="https://www.lcsc.com/product-detail/Chip-Resistor-Surface-Mount_YAGEO-RT0603BRD0710KL_C95204.html" TargetMode="External"/><Relationship Id="rId29" Type="http://schemas.openxmlformats.org/officeDocument/2006/relationships/hyperlink" Target="https://www.lcsc.com/product-detail/Tactile-Switches_ALPSALPINE-SKSTACE010_C341731.html" TargetMode="External"/><Relationship Id="rId1" Type="http://schemas.openxmlformats.org/officeDocument/2006/relationships/hyperlink" Target="https://www.lcsc.com/product-detail/Multilayer-Ceramic-Capacitors-MLCC-SMD-SMT_YAGEO-CC0603JRNPO9BN331_C62784.html" TargetMode="External"/><Relationship Id="rId6" Type="http://schemas.openxmlformats.org/officeDocument/2006/relationships/hyperlink" Target="https://www.lcsc.com/product-detail/Polypropylene-Film-Capacitors-CBB_KYET-MPP404J2A0702_C3019095.html" TargetMode="External"/><Relationship Id="rId11" Type="http://schemas.openxmlformats.org/officeDocument/2006/relationships/hyperlink" Target="https://www.lcsc.com/product-detail/Multilayer-Ceramic-Capacitors-MLCC-SMD-SMT_YAGEO-CC0603MRX5R6BB226_C109447.html" TargetMode="External"/><Relationship Id="rId24" Type="http://schemas.openxmlformats.org/officeDocument/2006/relationships/hyperlink" Target="https://www.lcsc.com/product-detail/Chip-Resistor-Surface-Mount_YAGEO-RC0603FR-073K3L_C108078.html" TargetMode="External"/><Relationship Id="rId32" Type="http://schemas.openxmlformats.org/officeDocument/2006/relationships/hyperlink" Target="https://www.lcsc.com/product-detail/Wireless-Charge-Discharge-ICs_INJOINIC-IP6826_C2921390.html" TargetMode="External"/><Relationship Id="rId37" Type="http://schemas.openxmlformats.org/officeDocument/2006/relationships/hyperlink" Target="https://www.lcsc.com/product-detail/NTC-Thermistors_STE-Songtian-Elec-MT52B104F3950F01000_C3000140.html" TargetMode="External"/><Relationship Id="rId40" Type="http://schemas.openxmlformats.org/officeDocument/2006/relationships/drawing" Target="../drawings/drawing2.xml"/><Relationship Id="rId5" Type="http://schemas.openxmlformats.org/officeDocument/2006/relationships/hyperlink" Target="https://www.lcsc.com/product-detail/Multilayer-Ceramic-Capacitors-MLCC-SMD-SMT_YAGEO-CC0603JRX7R9BB153_C519550.html" TargetMode="External"/><Relationship Id="rId15" Type="http://schemas.openxmlformats.org/officeDocument/2006/relationships/hyperlink" Target="https://www.lcsc.com/product-detail/Power-Inductors_YJYCOIN-YSPI1040-2R2M_C351101.html" TargetMode="External"/><Relationship Id="rId23" Type="http://schemas.openxmlformats.org/officeDocument/2006/relationships/hyperlink" Target="https://www.lcsc.com/product-detail/Chip-Resistor-Surface-Mount_YAGEO-RC0603JR-07100KL_C100048.html" TargetMode="External"/><Relationship Id="rId28" Type="http://schemas.openxmlformats.org/officeDocument/2006/relationships/hyperlink" Target="https://www.lcsc.com/product-detail/Chip-Resistor-Surface-Mount_YAGEO-RC0603JR-071KL_C14676.html" TargetMode="External"/><Relationship Id="rId36" Type="http://schemas.openxmlformats.org/officeDocument/2006/relationships/hyperlink" Target="https://vi.aliexpress.com/item/1005004771007786.html?spm=a2g0o.productlist.main.3.520a2ec1sTeyzG&amp;algo_pvid=84f242b7-eae4-422a-83f4-39c3ec3b431c&amp;algo_exp_id=84f242b7-eae4-422a-83f4-39c3ec3b431c-1&amp;pdp_npi=3%40dis%21USD%2143.6%2135.32%21%21%21%21%21%4021227e" TargetMode="External"/><Relationship Id="rId10" Type="http://schemas.openxmlformats.org/officeDocument/2006/relationships/hyperlink" Target="https://www.lcsc.com/product-detail/Multilayer-Ceramic-Capacitors-MLCC-SMD-SMT_YAGEO-CC0603KRX5R8BB225_C309478.html" TargetMode="External"/><Relationship Id="rId19" Type="http://schemas.openxmlformats.org/officeDocument/2006/relationships/hyperlink" Target="https://www.lcsc.com/product-detail/Current-Sense-Resistors-Shunt-Resistors_FORT-CUM1206-15FR005_C5185588.html" TargetMode="External"/><Relationship Id="rId31" Type="http://schemas.openxmlformats.org/officeDocument/2006/relationships/hyperlink" Target="https://www.lcsc.com/product-detail/MOSFETs_Shenzhen-Fuman-Elec-8205A_C841290.html" TargetMode="External"/><Relationship Id="rId4" Type="http://schemas.openxmlformats.org/officeDocument/2006/relationships/hyperlink" Target="https://www.lcsc.com/product-detail/Multilayer-Ceramic-Capacitors-MLCC-SMD-SMT_YAGEO-CC0402KRX7R8BB102_C541372.html" TargetMode="External"/><Relationship Id="rId9" Type="http://schemas.openxmlformats.org/officeDocument/2006/relationships/hyperlink" Target="https://www.lcsc.com/product-detail/Multilayer-Ceramic-Capacitors-MLCC-SMD-SMT_YAGEO-CC0603KRX7R9BB222_C107082.html" TargetMode="External"/><Relationship Id="rId14" Type="http://schemas.openxmlformats.org/officeDocument/2006/relationships/hyperlink" Target="https://www.lcsc.com/product-detail/USB-Connectors_Korean-Hroparts-Elec-TYPE-C-31-M-12_C165948.html" TargetMode="External"/><Relationship Id="rId22" Type="http://schemas.openxmlformats.org/officeDocument/2006/relationships/hyperlink" Target="https://www.lcsc.com/product-detail/Chip-Resistor-Surface-Mount_YAGEO-RC0603FR-071KL_C22548.html" TargetMode="External"/><Relationship Id="rId27" Type="http://schemas.openxmlformats.org/officeDocument/2006/relationships/hyperlink" Target="https://www.lcsc.com/product-detail/Chip-Resistor-Surface-Mount_YAGEO-PE0603FRF570R02L_C1730619.html" TargetMode="External"/><Relationship Id="rId30" Type="http://schemas.openxmlformats.org/officeDocument/2006/relationships/hyperlink" Target="https://www.lcsc.com/product-detail/USB-Connectors_XKB-Connectivity-U224-051N-3GRA035_C2689740.html" TargetMode="External"/><Relationship Id="rId35" Type="http://schemas.openxmlformats.org/officeDocument/2006/relationships/hyperlink" Target="https://vi.aliexpress.com/item/1005004177481925.html" TargetMode="External"/><Relationship Id="rId8" Type="http://schemas.openxmlformats.org/officeDocument/2006/relationships/hyperlink" Target="https://www.lcsc.com/product-detail/Polypropylene-Film-Capacitors-CBB_KNSCHA-MPP254J100V82CB0035_C3034846.html" TargetMode="External"/><Relationship Id="rId3" Type="http://schemas.openxmlformats.org/officeDocument/2006/relationships/hyperlink" Target="https://www.lcsc.com/product-detail/Multilayer-Ceramic-Capacitors-MLCC-SMD-SMT_YAGEO-CC0805MKX5R8BB226_C784585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Wire-To-Board-Wire-To-Wire-Connector_JST-Sales-America-B2B-EH-A-LF-SN_C160262.html" TargetMode="External"/><Relationship Id="rId18" Type="http://schemas.openxmlformats.org/officeDocument/2006/relationships/hyperlink" Target="https://www.lcsc.com/product-detail/Light-Emitting-Diodes-LED_Foshan-NationStar-Optoelectronics-NCD0603R3_C3151730.html" TargetMode="External"/><Relationship Id="rId26" Type="http://schemas.openxmlformats.org/officeDocument/2006/relationships/hyperlink" Target="https://www.lcsc.com/product-detail/Chip-Resistor-Surface-Mount_YAGEO-RT0603BRD0733KL_C705768.html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https://www.lcsc.com/product-detail/Chip-Resistor-Surface-Mount_YAGEO-RC0603FR-0720KL_C105575.html" TargetMode="External"/><Relationship Id="rId34" Type="http://schemas.openxmlformats.org/officeDocument/2006/relationships/hyperlink" Target="https://www.lcsc.com/product-detail/Battery-Management-ICs_XySemi-XB8889A_C669685.html" TargetMode="External"/><Relationship Id="rId7" Type="http://schemas.openxmlformats.org/officeDocument/2006/relationships/hyperlink" Target="https://www.lcsc.com/product-detail/Polypropylene-Film-Capacitors-CBB_KYET-PE154J2A0502_C478434.html" TargetMode="External"/><Relationship Id="rId12" Type="http://schemas.openxmlformats.org/officeDocument/2006/relationships/hyperlink" Target="https://www.lcsc.com/product-detail/Schottky-Barrier-Diodes-SBD_Diodes-Incorporated-1N5819HW-7-F_C82544.html" TargetMode="External"/><Relationship Id="rId17" Type="http://schemas.openxmlformats.org/officeDocument/2006/relationships/hyperlink" Target="https://www.lcsc.com/product-detail/Light-Emitting-Diodes-LED_Everlight-Elec-19-217-S2C-AQ1R1B-3T_C146215.html" TargetMode="External"/><Relationship Id="rId25" Type="http://schemas.openxmlformats.org/officeDocument/2006/relationships/hyperlink" Target="https://www.lcsc.com/product-detail/Chip-Resistor-Surface-Mount_YAGEO-RT0603BRD07100KL_C122538.html" TargetMode="External"/><Relationship Id="rId33" Type="http://schemas.openxmlformats.org/officeDocument/2006/relationships/hyperlink" Target="https://www.lcsc.com/product-detail/Multilayer-Ceramic-Capacitors-MLCC-SMD-SMT_YAGEO-CC0603KRX7R9BB104_C14663.html" TargetMode="External"/><Relationship Id="rId38" Type="http://schemas.openxmlformats.org/officeDocument/2006/relationships/hyperlink" Target="https://www.lcsc.com/product-detail/NTC-Thermistors_STE-Songtian-Elec-MT52B104F3950F01000_C3000140.html" TargetMode="External"/><Relationship Id="rId2" Type="http://schemas.openxmlformats.org/officeDocument/2006/relationships/hyperlink" Target="https://www.lcsc.com/product-detail/Multilayer-Ceramic-Capacitors-MLCC-SMD-SMT_YAGEO-CC0603KRX5R7BB106_C2936601.html" TargetMode="External"/><Relationship Id="rId16" Type="http://schemas.openxmlformats.org/officeDocument/2006/relationships/hyperlink" Target="https://www.lcsc.com/product-detail/Light-Emitting-Diodes-LED_Foshan-NationStar-Optoelectronics-NCD0603G2_C87326.html" TargetMode="External"/><Relationship Id="rId20" Type="http://schemas.openxmlformats.org/officeDocument/2006/relationships/hyperlink" Target="https://www.lcsc.com/product-detail/Chip-Resistor-Surface-Mount_YAGEO-RT0603BRD0710KL_C95204.html" TargetMode="External"/><Relationship Id="rId29" Type="http://schemas.openxmlformats.org/officeDocument/2006/relationships/hyperlink" Target="https://www.lcsc.com/product-detail/Tactile-Switches_ALPSALPINE-SKSTACE010_C341731.html" TargetMode="External"/><Relationship Id="rId1" Type="http://schemas.openxmlformats.org/officeDocument/2006/relationships/hyperlink" Target="https://www.lcsc.com/product-detail/Multilayer-Ceramic-Capacitors-MLCC-SMD-SMT_YAGEO-CC0603JRNPO9BN331_C62784.html" TargetMode="External"/><Relationship Id="rId6" Type="http://schemas.openxmlformats.org/officeDocument/2006/relationships/hyperlink" Target="https://www.lcsc.com/product-detail/Polypropylene-Film-Capacitors-CBB_KYET-MPP404J2A0702_C3019095.html" TargetMode="External"/><Relationship Id="rId11" Type="http://schemas.openxmlformats.org/officeDocument/2006/relationships/hyperlink" Target="https://www.lcsc.com/product-detail/Multilayer-Ceramic-Capacitors-MLCC-SMD-SMT_YAGEO-CC0603MRX5R6BB226_C109447.html" TargetMode="External"/><Relationship Id="rId24" Type="http://schemas.openxmlformats.org/officeDocument/2006/relationships/hyperlink" Target="https://www.lcsc.com/product-detail/Chip-Resistor-Surface-Mount_YAGEO-RC0603FR-073K3L_C108078.html" TargetMode="External"/><Relationship Id="rId32" Type="http://schemas.openxmlformats.org/officeDocument/2006/relationships/hyperlink" Target="https://www.lcsc.com/product-detail/Wireless-Charge-Discharge-ICs_INJOINIC-IP6826_C2921390.html" TargetMode="External"/><Relationship Id="rId37" Type="http://schemas.openxmlformats.org/officeDocument/2006/relationships/hyperlink" Target="https://www.lcsc.com/product-detail/Wireless-Charging-Coils_CND-tek-YX-A11-R500800-R0845_C424425.html" TargetMode="External"/><Relationship Id="rId40" Type="http://schemas.openxmlformats.org/officeDocument/2006/relationships/drawing" Target="../drawings/drawing3.xml"/><Relationship Id="rId5" Type="http://schemas.openxmlformats.org/officeDocument/2006/relationships/hyperlink" Target="https://www.lcsc.com/product-detail/Multilayer-Ceramic-Capacitors-MLCC-SMD-SMT_YAGEO-CC0603JRX7R9BB153_C519550.html" TargetMode="External"/><Relationship Id="rId15" Type="http://schemas.openxmlformats.org/officeDocument/2006/relationships/hyperlink" Target="https://www.lcsc.com/product-detail/Power-Inductors_YJYCOIN-YSPI1040-2R2M_C351101.html" TargetMode="External"/><Relationship Id="rId23" Type="http://schemas.openxmlformats.org/officeDocument/2006/relationships/hyperlink" Target="https://www.lcsc.com/product-detail/Chip-Resistor-Surface-Mount_YAGEO-RC0603JR-07100KL_C100048.html" TargetMode="External"/><Relationship Id="rId28" Type="http://schemas.openxmlformats.org/officeDocument/2006/relationships/hyperlink" Target="https://www.lcsc.com/product-detail/Chip-Resistor-Surface-Mount_YAGEO-RC0603JR-071KL_C14676.html" TargetMode="External"/><Relationship Id="rId36" Type="http://schemas.openxmlformats.org/officeDocument/2006/relationships/hyperlink" Target="https://vi.aliexpress.com/item/1005004771007786.html?spm=a2g0o.productlist.main.3.520a2ec1sTeyzG&amp;algo_pvid=84f242b7-eae4-422a-83f4-39c3ec3b431c&amp;algo_exp_id=84f242b7-eae4-422a-83f4-39c3ec3b431c-1&amp;pdp_npi=3%40dis%21USD%2143.6%2135.32%21%21%21%21%21%4021227e" TargetMode="External"/><Relationship Id="rId10" Type="http://schemas.openxmlformats.org/officeDocument/2006/relationships/hyperlink" Target="https://www.lcsc.com/product-detail/Multilayer-Ceramic-Capacitors-MLCC-SMD-SMT_YAGEO-CC0603KRX5R8BB225_C309478.html" TargetMode="External"/><Relationship Id="rId19" Type="http://schemas.openxmlformats.org/officeDocument/2006/relationships/hyperlink" Target="https://www.lcsc.com/product-detail/Current-Sense-Resistors-Shunt-Resistors_FORT-CUM1206-15FR005_C5185588.html" TargetMode="External"/><Relationship Id="rId31" Type="http://schemas.openxmlformats.org/officeDocument/2006/relationships/hyperlink" Target="https://www.lcsc.com/product-detail/MOSFETs_Shenzhen-Fuman-Elec-8205A_C841290.html" TargetMode="External"/><Relationship Id="rId4" Type="http://schemas.openxmlformats.org/officeDocument/2006/relationships/hyperlink" Target="https://www.lcsc.com/product-detail/Multilayer-Ceramic-Capacitors-MLCC-SMD-SMT_YAGEO-CC0402KRX7R8BB102_C541372.html" TargetMode="External"/><Relationship Id="rId9" Type="http://schemas.openxmlformats.org/officeDocument/2006/relationships/hyperlink" Target="https://www.lcsc.com/product-detail/Multilayer-Ceramic-Capacitors-MLCC-SMD-SMT_YAGEO-CC0603KRX7R9BB222_C107082.html" TargetMode="External"/><Relationship Id="rId14" Type="http://schemas.openxmlformats.org/officeDocument/2006/relationships/hyperlink" Target="https://www.lcsc.com/product-detail/USB-Connectors_Korean-Hroparts-Elec-TYPE-C-31-M-12_C165948.html" TargetMode="External"/><Relationship Id="rId22" Type="http://schemas.openxmlformats.org/officeDocument/2006/relationships/hyperlink" Target="https://www.lcsc.com/product-detail/Chip-Resistor-Surface-Mount_YAGEO-RC0603FR-071KL_C22548.html" TargetMode="External"/><Relationship Id="rId27" Type="http://schemas.openxmlformats.org/officeDocument/2006/relationships/hyperlink" Target="https://www.lcsc.com/product-detail/Chip-Resistor-Surface-Mount_YAGEO-PE0603FRF570R02L_C1730619.html" TargetMode="External"/><Relationship Id="rId30" Type="http://schemas.openxmlformats.org/officeDocument/2006/relationships/hyperlink" Target="https://www.lcsc.com/product-detail/USB-Connectors_XKB-Connectivity-U224-051N-3GRA035_C2689740.html" TargetMode="External"/><Relationship Id="rId35" Type="http://schemas.openxmlformats.org/officeDocument/2006/relationships/hyperlink" Target="https://vi.aliexpress.com/item/1005004177481925.html" TargetMode="External"/><Relationship Id="rId8" Type="http://schemas.openxmlformats.org/officeDocument/2006/relationships/hyperlink" Target="https://www.lcsc.com/product-detail/Polypropylene-Film-Capacitors-CBB_KNSCHA-MPP254J100V82CB0035_C3034846.html" TargetMode="External"/><Relationship Id="rId3" Type="http://schemas.openxmlformats.org/officeDocument/2006/relationships/hyperlink" Target="https://www.lcsc.com/product-detail/Multilayer-Ceramic-Capacitors-MLCC-SMD-SMT_YAGEO-CC0805MKX5R8BB226_C78458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opLeftCell="B42" workbookViewId="0">
      <selection activeCell="G59" sqref="G59"/>
    </sheetView>
  </sheetViews>
  <sheetFormatPr defaultRowHeight="15" x14ac:dyDescent="0.25"/>
  <cols>
    <col min="2" max="2" width="3" bestFit="1" customWidth="1"/>
    <col min="3" max="3" width="15.7109375" bestFit="1" customWidth="1"/>
    <col min="4" max="4" width="31.140625" bestFit="1" customWidth="1"/>
    <col min="5" max="5" width="27.28515625" customWidth="1"/>
    <col min="6" max="6" width="13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28515625" customWidth="1"/>
    <col min="16" max="16" width="18.7109375" bestFit="1" customWidth="1"/>
    <col min="17" max="17" width="19.28515625" bestFit="1" customWidth="1"/>
    <col min="18" max="18" width="13.140625" customWidth="1"/>
    <col min="19" max="19" width="26.425781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6" t="s">
        <v>236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61</v>
      </c>
      <c r="F9" s="30" t="s">
        <v>100</v>
      </c>
      <c r="G9" s="30" t="s">
        <v>120</v>
      </c>
      <c r="H9" s="30" t="s">
        <v>151</v>
      </c>
      <c r="I9" s="30" t="s">
        <v>223</v>
      </c>
      <c r="J9" s="30" t="s">
        <v>169</v>
      </c>
      <c r="K9" s="30" t="s">
        <v>233</v>
      </c>
      <c r="L9" s="30" t="s">
        <v>222</v>
      </c>
      <c r="M9" s="30" t="s">
        <v>238</v>
      </c>
      <c r="N9" s="30" t="s">
        <v>239</v>
      </c>
      <c r="O9" s="30" t="s">
        <v>227</v>
      </c>
      <c r="P9" s="30" t="s">
        <v>240</v>
      </c>
      <c r="Q9" s="30" t="s">
        <v>241</v>
      </c>
      <c r="R9" s="30" t="s">
        <v>230</v>
      </c>
      <c r="S9" s="30" t="s">
        <v>231</v>
      </c>
    </row>
    <row r="10" spans="1:19" s="61" customFormat="1" x14ac:dyDescent="0.25">
      <c r="A10" s="59"/>
      <c r="B10" s="46">
        <f>ROW(B10) - ROW($B$9)</f>
        <v>1</v>
      </c>
      <c r="C10" s="53" t="s">
        <v>9</v>
      </c>
      <c r="D10" s="37" t="s">
        <v>21</v>
      </c>
      <c r="E10" s="37" t="s">
        <v>62</v>
      </c>
      <c r="F10" s="37" t="s">
        <v>101</v>
      </c>
      <c r="G10" s="37" t="s">
        <v>121</v>
      </c>
      <c r="H10" s="37" t="s">
        <v>152</v>
      </c>
      <c r="I10" s="37" t="s">
        <v>232</v>
      </c>
      <c r="J10" s="37" t="s">
        <v>170</v>
      </c>
      <c r="K10" s="37" t="s">
        <v>202</v>
      </c>
      <c r="L10" s="37">
        <v>3</v>
      </c>
      <c r="M10" s="37">
        <f>L10*2</f>
        <v>6</v>
      </c>
      <c r="N10" s="37">
        <v>100</v>
      </c>
      <c r="O10" s="62" t="s">
        <v>246</v>
      </c>
      <c r="P10" s="38">
        <v>4.0000000000000001E-3</v>
      </c>
      <c r="Q10" s="38">
        <f>P10*N10</f>
        <v>0.4</v>
      </c>
      <c r="R10" s="37"/>
      <c r="S10" s="60"/>
    </row>
    <row r="11" spans="1:19" s="61" customFormat="1" ht="24" x14ac:dyDescent="0.25">
      <c r="A11" s="59"/>
      <c r="B11" s="47">
        <f t="shared" ref="B11:B55" si="0">ROW(B11) - ROW($B$9)</f>
        <v>2</v>
      </c>
      <c r="C11" s="54" t="s">
        <v>9</v>
      </c>
      <c r="D11" s="51" t="s">
        <v>22</v>
      </c>
      <c r="E11" s="51" t="s">
        <v>63</v>
      </c>
      <c r="F11" s="51" t="s">
        <v>101</v>
      </c>
      <c r="G11" s="65" t="s">
        <v>122</v>
      </c>
      <c r="H11" s="51" t="s">
        <v>152</v>
      </c>
      <c r="I11" s="51" t="s">
        <v>247</v>
      </c>
      <c r="J11" s="51" t="s">
        <v>248</v>
      </c>
      <c r="K11" s="51" t="s">
        <v>203</v>
      </c>
      <c r="L11" s="51">
        <v>11</v>
      </c>
      <c r="M11" s="37">
        <f t="shared" ref="M11:M55" si="1">L11*2</f>
        <v>22</v>
      </c>
      <c r="N11" s="51">
        <v>100</v>
      </c>
      <c r="O11" s="63" t="s">
        <v>246</v>
      </c>
      <c r="P11" s="52">
        <v>2.3999999999999998E-3</v>
      </c>
      <c r="Q11" s="52">
        <f t="shared" ref="Q11" si="2">P11*N11</f>
        <v>0.24</v>
      </c>
      <c r="R11" s="51"/>
      <c r="S11" s="51"/>
    </row>
    <row r="12" spans="1:19" s="61" customFormat="1" x14ac:dyDescent="0.25">
      <c r="A12" s="59"/>
      <c r="B12" s="46">
        <f>ROW(B12) - ROW($B$9)</f>
        <v>3</v>
      </c>
      <c r="C12" s="53" t="s">
        <v>9</v>
      </c>
      <c r="D12" s="37" t="s">
        <v>23</v>
      </c>
      <c r="E12" s="37" t="s">
        <v>64</v>
      </c>
      <c r="F12" s="37" t="s">
        <v>101</v>
      </c>
      <c r="G12" s="37" t="s">
        <v>123</v>
      </c>
      <c r="H12" s="37" t="s">
        <v>152</v>
      </c>
      <c r="I12" s="37" t="s">
        <v>232</v>
      </c>
      <c r="J12" s="37" t="s">
        <v>171</v>
      </c>
      <c r="K12" s="37" t="s">
        <v>204</v>
      </c>
      <c r="L12" s="37">
        <v>2</v>
      </c>
      <c r="M12" s="37">
        <f t="shared" si="1"/>
        <v>4</v>
      </c>
      <c r="N12" s="37">
        <v>5</v>
      </c>
      <c r="O12" s="62" t="s">
        <v>246</v>
      </c>
      <c r="P12" s="38">
        <v>0.14849999999999999</v>
      </c>
      <c r="Q12" s="38">
        <f>P12*N12</f>
        <v>0.74249999999999994</v>
      </c>
      <c r="R12" s="37"/>
      <c r="S12" s="58"/>
    </row>
    <row r="13" spans="1:19" s="61" customFormat="1" x14ac:dyDescent="0.25">
      <c r="A13" s="59"/>
      <c r="B13" s="47">
        <f t="shared" si="0"/>
        <v>4</v>
      </c>
      <c r="C13" s="54" t="s">
        <v>9</v>
      </c>
      <c r="D13" s="51" t="s">
        <v>24</v>
      </c>
      <c r="E13" s="51" t="s">
        <v>65</v>
      </c>
      <c r="F13" s="51" t="s">
        <v>102</v>
      </c>
      <c r="G13" s="51" t="s">
        <v>124</v>
      </c>
      <c r="H13" s="51" t="s">
        <v>152</v>
      </c>
      <c r="I13" s="51" t="s">
        <v>232</v>
      </c>
      <c r="J13" s="51" t="s">
        <v>172</v>
      </c>
      <c r="K13" s="51" t="s">
        <v>205</v>
      </c>
      <c r="L13" s="51">
        <v>9</v>
      </c>
      <c r="M13" s="37">
        <f t="shared" si="1"/>
        <v>18</v>
      </c>
      <c r="N13" s="51">
        <v>50</v>
      </c>
      <c r="O13" s="63" t="s">
        <v>246</v>
      </c>
      <c r="P13" s="52">
        <v>6.4199999999999993E-2</v>
      </c>
      <c r="Q13" s="52">
        <f t="shared" ref="Q13" si="3">P13*N13</f>
        <v>3.2099999999999995</v>
      </c>
      <c r="R13" s="51"/>
      <c r="S13" s="58"/>
    </row>
    <row r="14" spans="1:19" s="61" customFormat="1" x14ac:dyDescent="0.25">
      <c r="A14" s="59"/>
      <c r="B14" s="46">
        <f>ROW(B14) - ROW($B$9)</f>
        <v>5</v>
      </c>
      <c r="C14" s="53" t="s">
        <v>9</v>
      </c>
      <c r="D14" s="37" t="s">
        <v>25</v>
      </c>
      <c r="E14" s="37" t="s">
        <v>66</v>
      </c>
      <c r="F14" s="37" t="s">
        <v>103</v>
      </c>
      <c r="G14" s="37" t="s">
        <v>125</v>
      </c>
      <c r="H14" s="37" t="s">
        <v>152</v>
      </c>
      <c r="I14" s="51" t="s">
        <v>232</v>
      </c>
      <c r="J14" s="37" t="s">
        <v>173</v>
      </c>
      <c r="K14" s="37" t="s">
        <v>206</v>
      </c>
      <c r="L14" s="37">
        <v>1</v>
      </c>
      <c r="M14" s="37">
        <f t="shared" si="1"/>
        <v>2</v>
      </c>
      <c r="N14" s="37">
        <v>100</v>
      </c>
      <c r="O14" s="63" t="s">
        <v>246</v>
      </c>
      <c r="P14" s="38">
        <v>1E-3</v>
      </c>
      <c r="Q14" s="38">
        <f>P14*N14</f>
        <v>0.1</v>
      </c>
      <c r="R14" s="37"/>
      <c r="S14" s="58"/>
    </row>
    <row r="15" spans="1:19" s="61" customFormat="1" x14ac:dyDescent="0.25">
      <c r="A15" s="59"/>
      <c r="B15" s="47">
        <f t="shared" si="0"/>
        <v>6</v>
      </c>
      <c r="C15" s="54" t="s">
        <v>9</v>
      </c>
      <c r="D15" s="51" t="s">
        <v>26</v>
      </c>
      <c r="E15" s="51" t="s">
        <v>67</v>
      </c>
      <c r="F15" s="51" t="s">
        <v>101</v>
      </c>
      <c r="G15" s="51" t="s">
        <v>126</v>
      </c>
      <c r="H15" s="51" t="s">
        <v>152</v>
      </c>
      <c r="I15" s="37" t="s">
        <v>232</v>
      </c>
      <c r="J15" s="51" t="s">
        <v>174</v>
      </c>
      <c r="K15" s="51" t="s">
        <v>207</v>
      </c>
      <c r="L15" s="51">
        <v>3</v>
      </c>
      <c r="M15" s="37">
        <f t="shared" si="1"/>
        <v>6</v>
      </c>
      <c r="N15" s="51">
        <v>100</v>
      </c>
      <c r="O15" s="63" t="s">
        <v>246</v>
      </c>
      <c r="P15" s="52">
        <v>4.7000000000000002E-3</v>
      </c>
      <c r="Q15" s="52">
        <f t="shared" ref="Q15" si="4">P15*N15</f>
        <v>0.47000000000000003</v>
      </c>
      <c r="R15" s="51"/>
      <c r="S15" s="58"/>
    </row>
    <row r="16" spans="1:19" s="61" customFormat="1" ht="36" x14ac:dyDescent="0.25">
      <c r="A16" s="59"/>
      <c r="B16" s="46">
        <f>ROW(B16) - ROW($B$9)</f>
        <v>7</v>
      </c>
      <c r="C16" s="53" t="s">
        <v>9</v>
      </c>
      <c r="D16" s="37" t="s">
        <v>27</v>
      </c>
      <c r="E16" s="37" t="s">
        <v>68</v>
      </c>
      <c r="F16" s="37" t="s">
        <v>234</v>
      </c>
      <c r="G16" s="37" t="s">
        <v>104</v>
      </c>
      <c r="H16" s="37" t="s">
        <v>153</v>
      </c>
      <c r="I16" s="51" t="s">
        <v>232</v>
      </c>
      <c r="J16" s="37" t="s">
        <v>175</v>
      </c>
      <c r="K16" s="37" t="s">
        <v>208</v>
      </c>
      <c r="L16" s="37">
        <v>1</v>
      </c>
      <c r="M16" s="37">
        <f t="shared" si="1"/>
        <v>2</v>
      </c>
      <c r="N16" s="37">
        <v>5</v>
      </c>
      <c r="O16" s="63" t="s">
        <v>246</v>
      </c>
      <c r="P16" s="38">
        <v>7.6999999999999999E-2</v>
      </c>
      <c r="Q16" s="38">
        <f>P16*N16</f>
        <v>0.38500000000000001</v>
      </c>
      <c r="R16" s="37"/>
      <c r="S16" s="58"/>
    </row>
    <row r="17" spans="1:19" s="61" customFormat="1" ht="36" x14ac:dyDescent="0.25">
      <c r="A17" s="59"/>
      <c r="B17" s="47">
        <f t="shared" si="0"/>
        <v>8</v>
      </c>
      <c r="C17" s="54" t="s">
        <v>9</v>
      </c>
      <c r="D17" s="51" t="s">
        <v>28</v>
      </c>
      <c r="E17" s="51" t="s">
        <v>69</v>
      </c>
      <c r="F17" s="37" t="s">
        <v>234</v>
      </c>
      <c r="G17" s="51" t="s">
        <v>105</v>
      </c>
      <c r="H17" s="51" t="s">
        <v>153</v>
      </c>
      <c r="I17" s="51" t="s">
        <v>232</v>
      </c>
      <c r="J17" s="51" t="s">
        <v>176</v>
      </c>
      <c r="K17" s="51" t="s">
        <v>209</v>
      </c>
      <c r="L17" s="51">
        <v>1</v>
      </c>
      <c r="M17" s="37">
        <f t="shared" si="1"/>
        <v>2</v>
      </c>
      <c r="N17" s="51">
        <v>5</v>
      </c>
      <c r="O17" s="63" t="s">
        <v>246</v>
      </c>
      <c r="P17" s="52">
        <v>4.9099999999999998E-2</v>
      </c>
      <c r="Q17" s="52">
        <f t="shared" ref="Q17" si="5">P17*N17</f>
        <v>0.2455</v>
      </c>
      <c r="R17" s="51"/>
      <c r="S17" s="58"/>
    </row>
    <row r="18" spans="1:19" s="61" customFormat="1" ht="36" x14ac:dyDescent="0.25">
      <c r="A18" s="59"/>
      <c r="B18" s="46">
        <f>ROW(B18) - ROW($B$9)</f>
        <v>9</v>
      </c>
      <c r="C18" s="53" t="s">
        <v>9</v>
      </c>
      <c r="D18" s="37" t="s">
        <v>29</v>
      </c>
      <c r="E18" s="37" t="s">
        <v>70</v>
      </c>
      <c r="F18" s="37" t="s">
        <v>234</v>
      </c>
      <c r="G18" s="37" t="s">
        <v>106</v>
      </c>
      <c r="H18" s="37" t="s">
        <v>154</v>
      </c>
      <c r="I18" s="37" t="s">
        <v>232</v>
      </c>
      <c r="J18" s="37" t="s">
        <v>177</v>
      </c>
      <c r="K18" s="37" t="s">
        <v>210</v>
      </c>
      <c r="L18" s="37">
        <v>1</v>
      </c>
      <c r="M18" s="37">
        <f t="shared" si="1"/>
        <v>2</v>
      </c>
      <c r="N18" s="37">
        <v>5</v>
      </c>
      <c r="O18" s="63" t="s">
        <v>246</v>
      </c>
      <c r="P18" s="38">
        <v>7.2700000000000001E-2</v>
      </c>
      <c r="Q18" s="38">
        <f>P18*N18</f>
        <v>0.36349999999999999</v>
      </c>
      <c r="R18" s="37"/>
      <c r="S18" s="58"/>
    </row>
    <row r="19" spans="1:19" s="61" customFormat="1" x14ac:dyDescent="0.25">
      <c r="A19" s="59"/>
      <c r="B19" s="47">
        <f t="shared" si="0"/>
        <v>10</v>
      </c>
      <c r="C19" s="53" t="s">
        <v>9</v>
      </c>
      <c r="D19" s="51" t="s">
        <v>30</v>
      </c>
      <c r="E19" s="51" t="s">
        <v>71</v>
      </c>
      <c r="F19" s="51" t="s">
        <v>101</v>
      </c>
      <c r="G19" s="51" t="s">
        <v>127</v>
      </c>
      <c r="H19" s="51" t="s">
        <v>152</v>
      </c>
      <c r="I19" s="51" t="s">
        <v>232</v>
      </c>
      <c r="J19" s="51" t="s">
        <v>178</v>
      </c>
      <c r="K19" s="51" t="s">
        <v>211</v>
      </c>
      <c r="L19" s="51">
        <v>1</v>
      </c>
      <c r="M19" s="37">
        <f t="shared" si="1"/>
        <v>2</v>
      </c>
      <c r="N19" s="51">
        <v>100</v>
      </c>
      <c r="O19" s="63" t="s">
        <v>246</v>
      </c>
      <c r="P19" s="52">
        <v>2.5000000000000001E-3</v>
      </c>
      <c r="Q19" s="52">
        <f t="shared" ref="Q19" si="6">P19*N19</f>
        <v>0.25</v>
      </c>
      <c r="R19" s="51"/>
      <c r="S19" s="58"/>
    </row>
    <row r="20" spans="1:19" s="61" customFormat="1" x14ac:dyDescent="0.25">
      <c r="A20" s="59"/>
      <c r="B20" s="46">
        <f>ROW(B20) - ROW($B$9)</f>
        <v>11</v>
      </c>
      <c r="C20" s="53" t="s">
        <v>9</v>
      </c>
      <c r="D20" s="37" t="s">
        <v>31</v>
      </c>
      <c r="E20" s="37" t="s">
        <v>72</v>
      </c>
      <c r="F20" s="37" t="s">
        <v>107</v>
      </c>
      <c r="G20" s="37" t="s">
        <v>128</v>
      </c>
      <c r="H20" s="37" t="s">
        <v>152</v>
      </c>
      <c r="I20" s="51" t="s">
        <v>232</v>
      </c>
      <c r="J20" s="37" t="s">
        <v>179</v>
      </c>
      <c r="K20" s="37" t="s">
        <v>212</v>
      </c>
      <c r="L20" s="37">
        <v>1</v>
      </c>
      <c r="M20" s="37">
        <f t="shared" si="1"/>
        <v>2</v>
      </c>
      <c r="N20" s="37">
        <v>50</v>
      </c>
      <c r="O20" s="63" t="s">
        <v>246</v>
      </c>
      <c r="P20" s="38">
        <v>1.8499999999999999E-2</v>
      </c>
      <c r="Q20" s="38">
        <f>P20*N20</f>
        <v>0.92499999999999993</v>
      </c>
      <c r="R20" s="37"/>
      <c r="S20" s="58"/>
    </row>
    <row r="21" spans="1:19" s="61" customFormat="1" x14ac:dyDescent="0.25">
      <c r="A21" s="59"/>
      <c r="B21" s="47">
        <f t="shared" si="0"/>
        <v>12</v>
      </c>
      <c r="C21" s="54" t="s">
        <v>9</v>
      </c>
      <c r="D21" s="51" t="s">
        <v>32</v>
      </c>
      <c r="E21" s="51" t="s">
        <v>73</v>
      </c>
      <c r="F21" s="51" t="s">
        <v>101</v>
      </c>
      <c r="G21" s="51" t="s">
        <v>129</v>
      </c>
      <c r="H21" s="51" t="s">
        <v>152</v>
      </c>
      <c r="I21" s="37" t="s">
        <v>232</v>
      </c>
      <c r="J21" s="51" t="s">
        <v>180</v>
      </c>
      <c r="K21" s="51" t="s">
        <v>205</v>
      </c>
      <c r="L21" s="51">
        <v>2</v>
      </c>
      <c r="M21" s="37">
        <f t="shared" si="1"/>
        <v>4</v>
      </c>
      <c r="N21" s="51">
        <v>20</v>
      </c>
      <c r="O21" s="63" t="s">
        <v>246</v>
      </c>
      <c r="P21" s="52">
        <v>3.5400000000000001E-2</v>
      </c>
      <c r="Q21" s="52">
        <f t="shared" ref="Q21" si="7">P21*N21</f>
        <v>0.70799999999999996</v>
      </c>
      <c r="R21" s="51"/>
      <c r="S21" s="58"/>
    </row>
    <row r="22" spans="1:19" s="61" customFormat="1" x14ac:dyDescent="0.25">
      <c r="A22" s="59"/>
      <c r="B22" s="46">
        <f>ROW(B22) - ROW($B$9)</f>
        <v>13</v>
      </c>
      <c r="C22" s="53" t="s">
        <v>10</v>
      </c>
      <c r="D22" s="37" t="s">
        <v>33</v>
      </c>
      <c r="E22" s="37" t="s">
        <v>74</v>
      </c>
      <c r="F22" s="37" t="s">
        <v>108</v>
      </c>
      <c r="G22" s="37" t="s">
        <v>130</v>
      </c>
      <c r="H22" s="37" t="s">
        <v>155</v>
      </c>
      <c r="I22" s="51" t="s">
        <v>232</v>
      </c>
      <c r="J22" s="37" t="s">
        <v>181</v>
      </c>
      <c r="K22" s="37" t="s">
        <v>232</v>
      </c>
      <c r="L22" s="37">
        <v>1</v>
      </c>
      <c r="M22" s="37">
        <f t="shared" si="1"/>
        <v>2</v>
      </c>
      <c r="N22" s="37">
        <v>10</v>
      </c>
      <c r="O22" s="63" t="s">
        <v>246</v>
      </c>
      <c r="P22" s="38">
        <v>2.0400000000000001E-2</v>
      </c>
      <c r="Q22" s="38">
        <f>P22*N22</f>
        <v>0.20400000000000001</v>
      </c>
      <c r="R22" s="37"/>
      <c r="S22" s="58"/>
    </row>
    <row r="23" spans="1:19" s="61" customFormat="1" x14ac:dyDescent="0.25">
      <c r="A23" s="59"/>
      <c r="B23" s="47">
        <f t="shared" si="0"/>
        <v>14</v>
      </c>
      <c r="C23" s="54" t="s">
        <v>11</v>
      </c>
      <c r="D23" s="51" t="s">
        <v>34</v>
      </c>
      <c r="E23" s="51" t="s">
        <v>75</v>
      </c>
      <c r="F23" s="37" t="s">
        <v>234</v>
      </c>
      <c r="G23" s="51" t="s">
        <v>131</v>
      </c>
      <c r="H23" s="51" t="s">
        <v>156</v>
      </c>
      <c r="I23" s="51" t="s">
        <v>232</v>
      </c>
      <c r="J23" s="51" t="s">
        <v>182</v>
      </c>
      <c r="K23" s="51" t="s">
        <v>232</v>
      </c>
      <c r="L23" s="51">
        <v>1</v>
      </c>
      <c r="M23" s="37">
        <f t="shared" si="1"/>
        <v>2</v>
      </c>
      <c r="N23" s="51">
        <v>20</v>
      </c>
      <c r="O23" s="63" t="s">
        <v>246</v>
      </c>
      <c r="P23" s="52">
        <v>3.3700000000000001E-2</v>
      </c>
      <c r="Q23" s="52">
        <f t="shared" ref="Q23" si="8">P23*N23</f>
        <v>0.67400000000000004</v>
      </c>
      <c r="R23" s="51"/>
      <c r="S23" s="58"/>
    </row>
    <row r="24" spans="1:19" s="61" customFormat="1" x14ac:dyDescent="0.25">
      <c r="A24" s="59"/>
      <c r="B24" s="46">
        <f>ROW(B24) - ROW($B$9)</f>
        <v>15</v>
      </c>
      <c r="C24" s="69" t="s">
        <v>12</v>
      </c>
      <c r="D24" s="68" t="s">
        <v>35</v>
      </c>
      <c r="E24" s="68" t="s">
        <v>76</v>
      </c>
      <c r="F24" s="68" t="s">
        <v>234</v>
      </c>
      <c r="G24" s="68" t="s">
        <v>109</v>
      </c>
      <c r="H24" s="68"/>
      <c r="I24" s="68" t="s">
        <v>232</v>
      </c>
      <c r="J24" s="68" t="s">
        <v>232</v>
      </c>
      <c r="K24" s="68" t="s">
        <v>232</v>
      </c>
      <c r="L24" s="68">
        <v>2</v>
      </c>
      <c r="M24" s="37">
        <f t="shared" si="1"/>
        <v>4</v>
      </c>
      <c r="N24" s="68"/>
      <c r="O24" s="65" t="s">
        <v>232</v>
      </c>
      <c r="P24" s="70"/>
      <c r="Q24" s="70">
        <f>P24*N24</f>
        <v>0</v>
      </c>
      <c r="R24" s="68"/>
      <c r="S24" s="67"/>
    </row>
    <row r="25" spans="1:19" s="61" customFormat="1" ht="24" x14ac:dyDescent="0.25">
      <c r="A25" s="59"/>
      <c r="B25" s="47">
        <f t="shared" si="0"/>
        <v>16</v>
      </c>
      <c r="C25" s="54" t="s">
        <v>13</v>
      </c>
      <c r="D25" s="51" t="s">
        <v>36</v>
      </c>
      <c r="E25" s="51" t="s">
        <v>77</v>
      </c>
      <c r="F25" s="37" t="s">
        <v>234</v>
      </c>
      <c r="G25" s="51" t="s">
        <v>132</v>
      </c>
      <c r="H25" s="51" t="s">
        <v>157</v>
      </c>
      <c r="I25" s="51" t="s">
        <v>232</v>
      </c>
      <c r="J25" s="51" t="s">
        <v>183</v>
      </c>
      <c r="K25" s="51" t="s">
        <v>232</v>
      </c>
      <c r="L25" s="51">
        <v>1</v>
      </c>
      <c r="M25" s="37">
        <f t="shared" si="1"/>
        <v>2</v>
      </c>
      <c r="N25" s="51">
        <v>5</v>
      </c>
      <c r="O25" s="63" t="s">
        <v>246</v>
      </c>
      <c r="P25" s="52">
        <v>0.21590000000000001</v>
      </c>
      <c r="Q25" s="52">
        <f t="shared" ref="Q25" si="9">P25*N25</f>
        <v>1.0795000000000001</v>
      </c>
      <c r="R25" s="51"/>
      <c r="S25" s="58"/>
    </row>
    <row r="26" spans="1:19" s="61" customFormat="1" ht="36" x14ac:dyDescent="0.25">
      <c r="A26" s="59"/>
      <c r="B26" s="46">
        <f>ROW(B26) - ROW($B$9)</f>
        <v>17</v>
      </c>
      <c r="C26" s="53" t="s">
        <v>14</v>
      </c>
      <c r="D26" s="37" t="s">
        <v>37</v>
      </c>
      <c r="E26" s="37" t="s">
        <v>78</v>
      </c>
      <c r="F26" s="37" t="s">
        <v>234</v>
      </c>
      <c r="G26" s="37" t="s">
        <v>110</v>
      </c>
      <c r="H26" s="37"/>
      <c r="I26" s="51" t="s">
        <v>232</v>
      </c>
      <c r="J26" s="37" t="s">
        <v>232</v>
      </c>
      <c r="K26" s="37" t="s">
        <v>232</v>
      </c>
      <c r="L26" s="37">
        <v>1</v>
      </c>
      <c r="M26" s="37">
        <f t="shared" si="1"/>
        <v>2</v>
      </c>
      <c r="N26" s="51" t="s">
        <v>232</v>
      </c>
      <c r="O26" s="51" t="s">
        <v>232</v>
      </c>
      <c r="P26" s="51" t="s">
        <v>232</v>
      </c>
      <c r="Q26" s="38" t="s">
        <v>232</v>
      </c>
      <c r="R26" s="37"/>
      <c r="S26" s="58"/>
    </row>
    <row r="27" spans="1:19" s="61" customFormat="1" x14ac:dyDescent="0.25">
      <c r="A27" s="59"/>
      <c r="B27" s="47">
        <f t="shared" si="0"/>
        <v>18</v>
      </c>
      <c r="C27" s="64" t="s">
        <v>12</v>
      </c>
      <c r="D27" s="65" t="s">
        <v>38</v>
      </c>
      <c r="E27" s="65" t="s">
        <v>76</v>
      </c>
      <c r="F27" s="68" t="s">
        <v>234</v>
      </c>
      <c r="G27" s="65" t="s">
        <v>109</v>
      </c>
      <c r="H27" s="65"/>
      <c r="I27" s="68" t="s">
        <v>232</v>
      </c>
      <c r="J27" s="65" t="s">
        <v>232</v>
      </c>
      <c r="K27" s="65" t="s">
        <v>232</v>
      </c>
      <c r="L27" s="65">
        <v>1</v>
      </c>
      <c r="M27" s="37">
        <f t="shared" si="1"/>
        <v>2</v>
      </c>
      <c r="N27" s="65" t="s">
        <v>232</v>
      </c>
      <c r="O27" s="65" t="s">
        <v>232</v>
      </c>
      <c r="P27" s="65" t="s">
        <v>232</v>
      </c>
      <c r="Q27" s="66" t="s">
        <v>232</v>
      </c>
      <c r="R27" s="65"/>
      <c r="S27" s="58"/>
    </row>
    <row r="28" spans="1:19" s="61" customFormat="1" x14ac:dyDescent="0.25">
      <c r="A28" s="59"/>
      <c r="B28" s="46">
        <f>ROW(B28) - ROW($B$9)</f>
        <v>19</v>
      </c>
      <c r="C28" s="69" t="s">
        <v>12</v>
      </c>
      <c r="D28" s="68" t="s">
        <v>39</v>
      </c>
      <c r="E28" s="68" t="s">
        <v>76</v>
      </c>
      <c r="F28" s="68" t="s">
        <v>234</v>
      </c>
      <c r="G28" s="68" t="s">
        <v>109</v>
      </c>
      <c r="H28" s="68"/>
      <c r="I28" s="65" t="s">
        <v>232</v>
      </c>
      <c r="J28" s="68" t="s">
        <v>232</v>
      </c>
      <c r="K28" s="68" t="s">
        <v>232</v>
      </c>
      <c r="L28" s="68">
        <v>1</v>
      </c>
      <c r="M28" s="37">
        <f t="shared" si="1"/>
        <v>2</v>
      </c>
      <c r="N28" s="65" t="s">
        <v>232</v>
      </c>
      <c r="O28" s="65" t="s">
        <v>232</v>
      </c>
      <c r="P28" s="65" t="s">
        <v>232</v>
      </c>
      <c r="Q28" s="70" t="s">
        <v>232</v>
      </c>
      <c r="R28" s="68"/>
      <c r="S28" s="58"/>
    </row>
    <row r="29" spans="1:19" s="61" customFormat="1" ht="24" x14ac:dyDescent="0.25">
      <c r="A29" s="59"/>
      <c r="B29" s="47">
        <f t="shared" si="0"/>
        <v>20</v>
      </c>
      <c r="C29" s="54" t="s">
        <v>15</v>
      </c>
      <c r="D29" s="51" t="s">
        <v>40</v>
      </c>
      <c r="E29" s="51" t="s">
        <v>79</v>
      </c>
      <c r="F29" s="37" t="s">
        <v>234</v>
      </c>
      <c r="G29" s="51" t="s">
        <v>111</v>
      </c>
      <c r="H29" s="51" t="s">
        <v>158</v>
      </c>
      <c r="I29" s="51" t="s">
        <v>232</v>
      </c>
      <c r="J29" s="51" t="s">
        <v>184</v>
      </c>
      <c r="K29" s="51" t="s">
        <v>213</v>
      </c>
      <c r="L29" s="51">
        <v>1</v>
      </c>
      <c r="M29" s="37">
        <f t="shared" si="1"/>
        <v>2</v>
      </c>
      <c r="N29" s="51">
        <v>5</v>
      </c>
      <c r="O29" s="63" t="s">
        <v>246</v>
      </c>
      <c r="P29" s="52">
        <v>0.20610000000000001</v>
      </c>
      <c r="Q29" s="52">
        <f t="shared" ref="Q29" si="10">P29*N29</f>
        <v>1.0305</v>
      </c>
      <c r="R29" s="51"/>
      <c r="S29" s="58"/>
    </row>
    <row r="30" spans="1:19" s="61" customFormat="1" ht="48" x14ac:dyDescent="0.25">
      <c r="A30" s="59"/>
      <c r="B30" s="46">
        <f>ROW(B30) - ROW($B$9)</f>
        <v>21</v>
      </c>
      <c r="C30" s="53" t="s">
        <v>16</v>
      </c>
      <c r="D30" s="37" t="s">
        <v>41</v>
      </c>
      <c r="E30" s="37" t="s">
        <v>80</v>
      </c>
      <c r="F30" s="37" t="s">
        <v>112</v>
      </c>
      <c r="G30" s="37" t="s">
        <v>133</v>
      </c>
      <c r="H30" s="37" t="s">
        <v>159</v>
      </c>
      <c r="I30" s="37" t="s">
        <v>232</v>
      </c>
      <c r="J30" s="37" t="s">
        <v>185</v>
      </c>
      <c r="K30" s="37" t="s">
        <v>232</v>
      </c>
      <c r="L30" s="37">
        <v>3</v>
      </c>
      <c r="M30" s="37">
        <f t="shared" si="1"/>
        <v>6</v>
      </c>
      <c r="N30" s="37">
        <v>20</v>
      </c>
      <c r="O30" s="63" t="s">
        <v>246</v>
      </c>
      <c r="P30" s="38">
        <v>2.4199999999999999E-2</v>
      </c>
      <c r="Q30" s="38">
        <f>P30*N30</f>
        <v>0.48399999999999999</v>
      </c>
      <c r="R30" s="37"/>
      <c r="S30" s="58"/>
    </row>
    <row r="31" spans="1:19" s="61" customFormat="1" ht="36" x14ac:dyDescent="0.25">
      <c r="A31" s="59"/>
      <c r="B31" s="47">
        <f t="shared" si="0"/>
        <v>22</v>
      </c>
      <c r="C31" s="54" t="s">
        <v>16</v>
      </c>
      <c r="D31" s="51" t="s">
        <v>42</v>
      </c>
      <c r="E31" s="51" t="s">
        <v>81</v>
      </c>
      <c r="F31" s="51" t="s">
        <v>112</v>
      </c>
      <c r="G31" s="51" t="s">
        <v>134</v>
      </c>
      <c r="H31" s="51" t="s">
        <v>160</v>
      </c>
      <c r="I31" s="51" t="s">
        <v>232</v>
      </c>
      <c r="J31" s="51" t="s">
        <v>186</v>
      </c>
      <c r="K31" s="51" t="s">
        <v>232</v>
      </c>
      <c r="L31" s="51">
        <v>1</v>
      </c>
      <c r="M31" s="37">
        <f t="shared" si="1"/>
        <v>2</v>
      </c>
      <c r="N31" s="51">
        <v>20</v>
      </c>
      <c r="O31" s="63" t="s">
        <v>246</v>
      </c>
      <c r="P31" s="52">
        <v>2.6200000000000001E-2</v>
      </c>
      <c r="Q31" s="52">
        <f t="shared" ref="Q31" si="11">P31*N31</f>
        <v>0.52400000000000002</v>
      </c>
      <c r="R31" s="51"/>
      <c r="S31" s="58"/>
    </row>
    <row r="32" spans="1:19" s="61" customFormat="1" ht="48" x14ac:dyDescent="0.25">
      <c r="A32" s="59"/>
      <c r="B32" s="46">
        <f>ROW(B32) - ROW($B$9)</f>
        <v>23</v>
      </c>
      <c r="C32" s="53" t="s">
        <v>16</v>
      </c>
      <c r="D32" s="37" t="s">
        <v>43</v>
      </c>
      <c r="E32" s="37" t="s">
        <v>82</v>
      </c>
      <c r="F32" s="37" t="s">
        <v>112</v>
      </c>
      <c r="G32" s="37" t="s">
        <v>135</v>
      </c>
      <c r="H32" s="37" t="s">
        <v>159</v>
      </c>
      <c r="I32" s="37" t="s">
        <v>232</v>
      </c>
      <c r="J32" s="37" t="s">
        <v>187</v>
      </c>
      <c r="K32" s="37" t="s">
        <v>232</v>
      </c>
      <c r="L32" s="37">
        <v>2</v>
      </c>
      <c r="M32" s="37">
        <f t="shared" si="1"/>
        <v>4</v>
      </c>
      <c r="N32" s="37">
        <v>20</v>
      </c>
      <c r="O32" s="63" t="s">
        <v>246</v>
      </c>
      <c r="P32" s="38">
        <v>2.29E-2</v>
      </c>
      <c r="Q32" s="38">
        <f>P32*N32</f>
        <v>0.45800000000000002</v>
      </c>
      <c r="R32" s="37"/>
      <c r="S32" s="58"/>
    </row>
    <row r="33" spans="1:19" s="61" customFormat="1" x14ac:dyDescent="0.25">
      <c r="A33" s="59"/>
      <c r="B33" s="47">
        <f t="shared" si="0"/>
        <v>24</v>
      </c>
      <c r="C33" s="64" t="s">
        <v>17</v>
      </c>
      <c r="D33" s="65" t="s">
        <v>44</v>
      </c>
      <c r="E33" s="65" t="s">
        <v>83</v>
      </c>
      <c r="F33" s="65" t="s">
        <v>234</v>
      </c>
      <c r="G33" s="65" t="s">
        <v>232</v>
      </c>
      <c r="H33" s="65" t="s">
        <v>232</v>
      </c>
      <c r="I33" s="65" t="s">
        <v>232</v>
      </c>
      <c r="J33" s="65" t="s">
        <v>232</v>
      </c>
      <c r="K33" s="65" t="s">
        <v>232</v>
      </c>
      <c r="L33" s="65">
        <v>1</v>
      </c>
      <c r="M33" s="37">
        <f t="shared" si="1"/>
        <v>2</v>
      </c>
      <c r="N33" s="65" t="s">
        <v>232</v>
      </c>
      <c r="O33" s="65" t="s">
        <v>232</v>
      </c>
      <c r="P33" s="66" t="s">
        <v>232</v>
      </c>
      <c r="Q33" s="66" t="s">
        <v>232</v>
      </c>
      <c r="R33" s="65"/>
      <c r="S33" s="67"/>
    </row>
    <row r="34" spans="1:19" s="61" customFormat="1" ht="24" x14ac:dyDescent="0.25">
      <c r="A34" s="59"/>
      <c r="B34" s="46">
        <f>ROW(B34) - ROW($B$9)</f>
        <v>25</v>
      </c>
      <c r="C34" s="53" t="s">
        <v>9</v>
      </c>
      <c r="D34" s="37" t="s">
        <v>45</v>
      </c>
      <c r="E34" s="37" t="s">
        <v>84</v>
      </c>
      <c r="F34" s="37" t="s">
        <v>113</v>
      </c>
      <c r="G34" s="37" t="s">
        <v>136</v>
      </c>
      <c r="H34" s="37" t="s">
        <v>161</v>
      </c>
      <c r="I34" s="37" t="s">
        <v>232</v>
      </c>
      <c r="J34" s="37" t="s">
        <v>188</v>
      </c>
      <c r="K34" s="37" t="s">
        <v>214</v>
      </c>
      <c r="L34" s="37">
        <v>1</v>
      </c>
      <c r="M34" s="37">
        <f t="shared" si="1"/>
        <v>2</v>
      </c>
      <c r="N34" s="37">
        <v>5</v>
      </c>
      <c r="O34" s="63" t="s">
        <v>246</v>
      </c>
      <c r="P34" s="38">
        <v>8.4400000000000003E-2</v>
      </c>
      <c r="Q34" s="38">
        <f>P34*N34</f>
        <v>0.42200000000000004</v>
      </c>
      <c r="R34" s="37"/>
      <c r="S34" s="58"/>
    </row>
    <row r="35" spans="1:19" s="61" customFormat="1" ht="24" x14ac:dyDescent="0.25">
      <c r="A35" s="59"/>
      <c r="B35" s="47">
        <f t="shared" si="0"/>
        <v>26</v>
      </c>
      <c r="C35" s="54" t="s">
        <v>18</v>
      </c>
      <c r="D35" s="51" t="s">
        <v>46</v>
      </c>
      <c r="E35" s="51" t="s">
        <v>85</v>
      </c>
      <c r="F35" s="51" t="s">
        <v>114</v>
      </c>
      <c r="G35" s="51" t="s">
        <v>137</v>
      </c>
      <c r="H35" s="51" t="s">
        <v>152</v>
      </c>
      <c r="I35" s="51" t="s">
        <v>232</v>
      </c>
      <c r="J35" s="51" t="s">
        <v>189</v>
      </c>
      <c r="K35" s="51" t="s">
        <v>215</v>
      </c>
      <c r="L35" s="51">
        <v>3</v>
      </c>
      <c r="M35" s="37">
        <f t="shared" si="1"/>
        <v>6</v>
      </c>
      <c r="N35" s="51">
        <v>20</v>
      </c>
      <c r="O35" s="63" t="s">
        <v>246</v>
      </c>
      <c r="P35" s="52">
        <v>2.1600000000000001E-2</v>
      </c>
      <c r="Q35" s="52">
        <f t="shared" ref="Q35" si="12">P35*N35</f>
        <v>0.43200000000000005</v>
      </c>
      <c r="R35" s="51"/>
      <c r="S35" s="58"/>
    </row>
    <row r="36" spans="1:19" s="61" customFormat="1" x14ac:dyDescent="0.25">
      <c r="A36" s="59"/>
      <c r="B36" s="46">
        <f>ROW(B36) - ROW($B$9)</f>
        <v>27</v>
      </c>
      <c r="C36" s="54" t="s">
        <v>18</v>
      </c>
      <c r="D36" s="37" t="s">
        <v>47</v>
      </c>
      <c r="E36" s="37" t="s">
        <v>86</v>
      </c>
      <c r="F36" s="37" t="s">
        <v>114</v>
      </c>
      <c r="G36" s="37" t="s">
        <v>138</v>
      </c>
      <c r="H36" s="37" t="s">
        <v>152</v>
      </c>
      <c r="I36" s="51" t="s">
        <v>232</v>
      </c>
      <c r="J36" s="37" t="s">
        <v>190</v>
      </c>
      <c r="K36" s="37" t="s">
        <v>216</v>
      </c>
      <c r="L36" s="37">
        <v>1</v>
      </c>
      <c r="M36" s="37">
        <f t="shared" si="1"/>
        <v>2</v>
      </c>
      <c r="N36" s="37">
        <v>100</v>
      </c>
      <c r="O36" s="63" t="s">
        <v>246</v>
      </c>
      <c r="P36" s="38">
        <v>1.4E-3</v>
      </c>
      <c r="Q36" s="38">
        <f>P36*N36</f>
        <v>0.13999999999999999</v>
      </c>
      <c r="R36" s="37"/>
      <c r="S36" s="58"/>
    </row>
    <row r="37" spans="1:19" s="61" customFormat="1" x14ac:dyDescent="0.25">
      <c r="A37" s="59"/>
      <c r="B37" s="47">
        <f t="shared" si="0"/>
        <v>28</v>
      </c>
      <c r="C37" s="54" t="s">
        <v>18</v>
      </c>
      <c r="D37" s="51" t="s">
        <v>48</v>
      </c>
      <c r="E37" s="51" t="s">
        <v>87</v>
      </c>
      <c r="F37" s="51" t="s">
        <v>114</v>
      </c>
      <c r="G37" s="51" t="s">
        <v>139</v>
      </c>
      <c r="H37" s="51" t="s">
        <v>152</v>
      </c>
      <c r="I37" s="37" t="s">
        <v>232</v>
      </c>
      <c r="J37" s="51" t="s">
        <v>191</v>
      </c>
      <c r="K37" s="51" t="s">
        <v>217</v>
      </c>
      <c r="L37" s="51">
        <v>3</v>
      </c>
      <c r="M37" s="37">
        <f t="shared" si="1"/>
        <v>6</v>
      </c>
      <c r="N37" s="51">
        <v>100</v>
      </c>
      <c r="O37" s="63" t="s">
        <v>246</v>
      </c>
      <c r="P37" s="52">
        <v>1E-3</v>
      </c>
      <c r="Q37" s="52">
        <f t="shared" ref="Q37" si="13">P37*N37</f>
        <v>0.1</v>
      </c>
      <c r="R37" s="51"/>
      <c r="S37" s="58"/>
    </row>
    <row r="38" spans="1:19" s="61" customFormat="1" x14ac:dyDescent="0.25">
      <c r="A38" s="59"/>
      <c r="B38" s="46">
        <f>ROW(B38) - ROW($B$9)</f>
        <v>29</v>
      </c>
      <c r="C38" s="53" t="s">
        <v>18</v>
      </c>
      <c r="D38" s="37" t="s">
        <v>49</v>
      </c>
      <c r="E38" s="37" t="s">
        <v>88</v>
      </c>
      <c r="F38" s="37" t="s">
        <v>114</v>
      </c>
      <c r="G38" s="37" t="s">
        <v>140</v>
      </c>
      <c r="H38" s="37" t="s">
        <v>152</v>
      </c>
      <c r="I38" s="51" t="s">
        <v>232</v>
      </c>
      <c r="J38" s="37" t="s">
        <v>192</v>
      </c>
      <c r="K38" s="37" t="s">
        <v>218</v>
      </c>
      <c r="L38" s="37">
        <v>2</v>
      </c>
      <c r="M38" s="37">
        <f t="shared" si="1"/>
        <v>4</v>
      </c>
      <c r="N38" s="37">
        <v>100</v>
      </c>
      <c r="O38" s="63" t="s">
        <v>246</v>
      </c>
      <c r="P38" s="38">
        <v>1.1000000000000001E-3</v>
      </c>
      <c r="Q38" s="38">
        <f>P38*N38</f>
        <v>0.11</v>
      </c>
      <c r="R38" s="37"/>
      <c r="S38" s="58"/>
    </row>
    <row r="39" spans="1:19" s="61" customFormat="1" ht="24" x14ac:dyDescent="0.25">
      <c r="A39" s="59"/>
      <c r="B39" s="47">
        <f t="shared" si="0"/>
        <v>30</v>
      </c>
      <c r="C39" s="54" t="s">
        <v>18</v>
      </c>
      <c r="D39" s="51" t="s">
        <v>50</v>
      </c>
      <c r="E39" s="51" t="s">
        <v>89</v>
      </c>
      <c r="F39" s="51" t="s">
        <v>114</v>
      </c>
      <c r="G39" s="51" t="s">
        <v>141</v>
      </c>
      <c r="H39" s="51" t="s">
        <v>162</v>
      </c>
      <c r="I39" s="37" t="s">
        <v>232</v>
      </c>
      <c r="J39" s="51" t="s">
        <v>193</v>
      </c>
      <c r="K39" s="51" t="s">
        <v>219</v>
      </c>
      <c r="L39" s="51">
        <v>1</v>
      </c>
      <c r="M39" s="37">
        <f t="shared" si="1"/>
        <v>2</v>
      </c>
      <c r="N39" s="51">
        <v>100</v>
      </c>
      <c r="O39" s="63" t="s">
        <v>246</v>
      </c>
      <c r="P39" s="52">
        <v>1.1999999999999999E-3</v>
      </c>
      <c r="Q39" s="52">
        <f t="shared" ref="Q39" si="14">P39*N39</f>
        <v>0.12</v>
      </c>
      <c r="R39" s="51"/>
      <c r="S39" s="58"/>
    </row>
    <row r="40" spans="1:19" s="61" customFormat="1" ht="24" x14ac:dyDescent="0.25">
      <c r="A40" s="59"/>
      <c r="B40" s="46">
        <f>ROW(B40) - ROW($B$9)</f>
        <v>31</v>
      </c>
      <c r="C40" s="53" t="s">
        <v>18</v>
      </c>
      <c r="D40" s="37" t="s">
        <v>51</v>
      </c>
      <c r="E40" s="37" t="s">
        <v>90</v>
      </c>
      <c r="F40" s="37" t="s">
        <v>114</v>
      </c>
      <c r="G40" s="37" t="s">
        <v>142</v>
      </c>
      <c r="H40" s="37" t="s">
        <v>152</v>
      </c>
      <c r="I40" s="51" t="s">
        <v>232</v>
      </c>
      <c r="J40" s="37" t="s">
        <v>194</v>
      </c>
      <c r="K40" s="37" t="s">
        <v>218</v>
      </c>
      <c r="L40" s="37">
        <v>2</v>
      </c>
      <c r="M40" s="37">
        <f t="shared" si="1"/>
        <v>4</v>
      </c>
      <c r="N40" s="37">
        <v>20</v>
      </c>
      <c r="O40" s="63" t="s">
        <v>246</v>
      </c>
      <c r="P40" s="38">
        <v>2.29E-2</v>
      </c>
      <c r="Q40" s="38">
        <f>P40*N40</f>
        <v>0.45800000000000002</v>
      </c>
      <c r="R40" s="37"/>
      <c r="S40" s="58"/>
    </row>
    <row r="41" spans="1:19" s="61" customFormat="1" ht="24" x14ac:dyDescent="0.25">
      <c r="A41" s="59"/>
      <c r="B41" s="47">
        <f t="shared" si="0"/>
        <v>32</v>
      </c>
      <c r="C41" s="53" t="s">
        <v>18</v>
      </c>
      <c r="D41" s="51" t="s">
        <v>52</v>
      </c>
      <c r="E41" s="51" t="s">
        <v>91</v>
      </c>
      <c r="F41" s="51" t="s">
        <v>114</v>
      </c>
      <c r="G41" s="51" t="s">
        <v>143</v>
      </c>
      <c r="H41" s="51" t="s">
        <v>152</v>
      </c>
      <c r="I41" s="37" t="s">
        <v>232</v>
      </c>
      <c r="J41" s="51" t="s">
        <v>195</v>
      </c>
      <c r="K41" s="51" t="s">
        <v>220</v>
      </c>
      <c r="L41" s="51">
        <v>1</v>
      </c>
      <c r="M41" s="37">
        <f t="shared" si="1"/>
        <v>2</v>
      </c>
      <c r="N41" s="51">
        <v>20</v>
      </c>
      <c r="O41" s="63" t="s">
        <v>246</v>
      </c>
      <c r="P41" s="52">
        <v>2.5700000000000001E-2</v>
      </c>
      <c r="Q41" s="52">
        <f t="shared" ref="Q41" si="15">P41*N41</f>
        <v>0.51400000000000001</v>
      </c>
      <c r="R41" s="51"/>
      <c r="S41" s="58"/>
    </row>
    <row r="42" spans="1:19" s="61" customFormat="1" x14ac:dyDescent="0.25">
      <c r="A42" s="59"/>
      <c r="B42" s="46">
        <f>ROW(B42) - ROW($B$9)</f>
        <v>33</v>
      </c>
      <c r="C42" s="53" t="s">
        <v>18</v>
      </c>
      <c r="D42" s="37" t="s">
        <v>53</v>
      </c>
      <c r="E42" s="37" t="s">
        <v>92</v>
      </c>
      <c r="F42" s="37" t="s">
        <v>114</v>
      </c>
      <c r="G42" s="37" t="s">
        <v>144</v>
      </c>
      <c r="H42" s="37" t="s">
        <v>152</v>
      </c>
      <c r="I42" s="51" t="s">
        <v>232</v>
      </c>
      <c r="J42" s="37" t="s">
        <v>196</v>
      </c>
      <c r="K42" s="37" t="s">
        <v>221</v>
      </c>
      <c r="L42" s="37">
        <v>1</v>
      </c>
      <c r="M42" s="37">
        <f t="shared" si="1"/>
        <v>2</v>
      </c>
      <c r="N42" s="37">
        <v>5</v>
      </c>
      <c r="O42" s="63" t="s">
        <v>246</v>
      </c>
      <c r="P42" s="38">
        <v>0.2535</v>
      </c>
      <c r="Q42" s="38">
        <f>P42*N42</f>
        <v>1.2675000000000001</v>
      </c>
      <c r="R42" s="37"/>
      <c r="S42" s="58"/>
    </row>
    <row r="43" spans="1:19" s="61" customFormat="1" ht="24" x14ac:dyDescent="0.25">
      <c r="A43" s="59"/>
      <c r="B43" s="47">
        <f t="shared" si="0"/>
        <v>34</v>
      </c>
      <c r="C43" s="54" t="s">
        <v>18</v>
      </c>
      <c r="D43" s="51" t="s">
        <v>54</v>
      </c>
      <c r="E43" s="51" t="s">
        <v>93</v>
      </c>
      <c r="F43" s="51" t="s">
        <v>114</v>
      </c>
      <c r="G43" s="51" t="s">
        <v>145</v>
      </c>
      <c r="H43" s="51" t="s">
        <v>152</v>
      </c>
      <c r="I43" s="51" t="s">
        <v>232</v>
      </c>
      <c r="J43" s="51" t="s">
        <v>197</v>
      </c>
      <c r="K43" s="51" t="s">
        <v>217</v>
      </c>
      <c r="L43" s="51">
        <v>1</v>
      </c>
      <c r="M43" s="37">
        <f t="shared" si="1"/>
        <v>2</v>
      </c>
      <c r="N43" s="51">
        <v>100</v>
      </c>
      <c r="O43" s="63" t="s">
        <v>246</v>
      </c>
      <c r="P43" s="52">
        <v>1.1000000000000001E-3</v>
      </c>
      <c r="Q43" s="52">
        <f t="shared" ref="Q43" si="16">P43*N43</f>
        <v>0.11</v>
      </c>
      <c r="R43" s="51"/>
      <c r="S43" s="58"/>
    </row>
    <row r="44" spans="1:19" s="61" customFormat="1" ht="24" x14ac:dyDescent="0.25">
      <c r="A44" s="59"/>
      <c r="B44" s="46">
        <f>ROW(B44) - ROW($B$9)</f>
        <v>35</v>
      </c>
      <c r="C44" s="53" t="s">
        <v>224</v>
      </c>
      <c r="D44" s="37" t="s">
        <v>55</v>
      </c>
      <c r="E44" s="37" t="s">
        <v>94</v>
      </c>
      <c r="F44" s="37" t="s">
        <v>234</v>
      </c>
      <c r="G44" s="37" t="s">
        <v>146</v>
      </c>
      <c r="H44" s="37" t="s">
        <v>163</v>
      </c>
      <c r="I44" s="37" t="s">
        <v>232</v>
      </c>
      <c r="J44" s="37" t="s">
        <v>198</v>
      </c>
      <c r="K44" s="37" t="s">
        <v>232</v>
      </c>
      <c r="L44" s="37">
        <v>1</v>
      </c>
      <c r="M44" s="37">
        <f t="shared" si="1"/>
        <v>2</v>
      </c>
      <c r="N44" s="37">
        <v>3</v>
      </c>
      <c r="O44" s="63" t="s">
        <v>246</v>
      </c>
      <c r="P44" s="38">
        <v>0.65869999999999995</v>
      </c>
      <c r="Q44" s="38">
        <f>P44*N44</f>
        <v>1.9760999999999997</v>
      </c>
      <c r="R44" s="37"/>
      <c r="S44" s="58"/>
    </row>
    <row r="45" spans="1:19" s="61" customFormat="1" ht="48" x14ac:dyDescent="0.25">
      <c r="A45" s="59"/>
      <c r="B45" s="47">
        <f t="shared" si="0"/>
        <v>36</v>
      </c>
      <c r="C45" s="54" t="s">
        <v>19</v>
      </c>
      <c r="D45" s="51" t="s">
        <v>56</v>
      </c>
      <c r="E45" s="51" t="s">
        <v>95</v>
      </c>
      <c r="F45" s="51" t="s">
        <v>115</v>
      </c>
      <c r="G45" s="51" t="s">
        <v>147</v>
      </c>
      <c r="H45" s="51" t="s">
        <v>164</v>
      </c>
      <c r="I45" s="51" t="s">
        <v>232</v>
      </c>
      <c r="J45" s="51"/>
      <c r="K45" s="51" t="s">
        <v>232</v>
      </c>
      <c r="L45" s="51">
        <v>1</v>
      </c>
      <c r="M45" s="37">
        <f t="shared" si="1"/>
        <v>2</v>
      </c>
      <c r="N45" s="51"/>
      <c r="O45" s="51"/>
      <c r="P45" s="52"/>
      <c r="Q45" s="52">
        <f t="shared" ref="Q45" si="17">P45*N45</f>
        <v>0</v>
      </c>
      <c r="R45" s="51"/>
      <c r="S45" s="58"/>
    </row>
    <row r="46" spans="1:19" s="61" customFormat="1" ht="48" x14ac:dyDescent="0.25">
      <c r="A46" s="59"/>
      <c r="B46" s="46">
        <f>ROW(B46) - ROW($B$9)</f>
        <v>37</v>
      </c>
      <c r="C46" s="53" t="s">
        <v>13</v>
      </c>
      <c r="D46" s="37" t="s">
        <v>57</v>
      </c>
      <c r="E46" s="37" t="s">
        <v>96</v>
      </c>
      <c r="F46" s="37" t="s">
        <v>234</v>
      </c>
      <c r="G46" s="37" t="s">
        <v>116</v>
      </c>
      <c r="H46" s="37" t="s">
        <v>165</v>
      </c>
      <c r="I46" s="37" t="s">
        <v>232</v>
      </c>
      <c r="J46" s="37" t="s">
        <v>199</v>
      </c>
      <c r="K46" s="37" t="s">
        <v>232</v>
      </c>
      <c r="L46" s="37">
        <v>1</v>
      </c>
      <c r="M46" s="37">
        <f t="shared" si="1"/>
        <v>2</v>
      </c>
      <c r="N46" s="37">
        <v>3</v>
      </c>
      <c r="O46" s="63" t="s">
        <v>246</v>
      </c>
      <c r="P46" s="38">
        <v>0.436</v>
      </c>
      <c r="Q46" s="38">
        <f>P46*N46</f>
        <v>1.3080000000000001</v>
      </c>
      <c r="R46" s="37"/>
      <c r="S46" s="58"/>
    </row>
    <row r="47" spans="1:19" s="61" customFormat="1" ht="36" x14ac:dyDescent="0.25">
      <c r="A47" s="59"/>
      <c r="B47" s="47">
        <f t="shared" si="0"/>
        <v>38</v>
      </c>
      <c r="C47" s="54" t="s">
        <v>19</v>
      </c>
      <c r="D47" s="51" t="s">
        <v>58</v>
      </c>
      <c r="E47" s="51" t="s">
        <v>97</v>
      </c>
      <c r="F47" s="51" t="s">
        <v>117</v>
      </c>
      <c r="G47" s="51" t="s">
        <v>148</v>
      </c>
      <c r="H47" s="51" t="s">
        <v>166</v>
      </c>
      <c r="I47" s="51" t="s">
        <v>232</v>
      </c>
      <c r="J47" s="51" t="s">
        <v>200</v>
      </c>
      <c r="K47" s="51" t="s">
        <v>232</v>
      </c>
      <c r="L47" s="51">
        <v>2</v>
      </c>
      <c r="M47" s="37">
        <f t="shared" si="1"/>
        <v>4</v>
      </c>
      <c r="N47" s="51">
        <v>10</v>
      </c>
      <c r="O47" s="63" t="s">
        <v>246</v>
      </c>
      <c r="P47" s="52">
        <v>5.6899999999999999E-2</v>
      </c>
      <c r="Q47" s="52">
        <f t="shared" ref="Q47" si="18">P47*N47</f>
        <v>0.56899999999999995</v>
      </c>
      <c r="R47" s="51"/>
      <c r="S47" s="58"/>
    </row>
    <row r="48" spans="1:19" s="61" customFormat="1" ht="24" x14ac:dyDescent="0.25">
      <c r="A48" s="59"/>
      <c r="B48" s="46">
        <f>ROW(B48) - ROW($B$9)</f>
        <v>39</v>
      </c>
      <c r="C48" s="53" t="s">
        <v>19</v>
      </c>
      <c r="D48" s="37" t="s">
        <v>59</v>
      </c>
      <c r="E48" s="37" t="s">
        <v>98</v>
      </c>
      <c r="F48" s="37" t="s">
        <v>118</v>
      </c>
      <c r="G48" s="37" t="s">
        <v>149</v>
      </c>
      <c r="H48" s="37" t="s">
        <v>167</v>
      </c>
      <c r="I48" s="37" t="s">
        <v>232</v>
      </c>
      <c r="J48" s="37" t="s">
        <v>201</v>
      </c>
      <c r="K48" s="37" t="s">
        <v>232</v>
      </c>
      <c r="L48" s="37">
        <v>1</v>
      </c>
      <c r="M48" s="37">
        <f t="shared" si="1"/>
        <v>2</v>
      </c>
      <c r="N48" s="37">
        <v>3</v>
      </c>
      <c r="O48" s="63" t="s">
        <v>246</v>
      </c>
      <c r="P48" s="38">
        <v>1.2998000000000001</v>
      </c>
      <c r="Q48" s="38">
        <f>P48*N48</f>
        <v>3.8994</v>
      </c>
      <c r="R48" s="37"/>
      <c r="S48" s="58"/>
    </row>
    <row r="49" spans="1:19" s="61" customFormat="1" ht="24.75" thickBot="1" x14ac:dyDescent="0.3">
      <c r="A49" s="59"/>
      <c r="B49" s="47">
        <f t="shared" si="0"/>
        <v>40</v>
      </c>
      <c r="C49" s="54" t="s">
        <v>19</v>
      </c>
      <c r="D49" s="51" t="s">
        <v>60</v>
      </c>
      <c r="E49" s="51" t="s">
        <v>99</v>
      </c>
      <c r="F49" s="51" t="s">
        <v>119</v>
      </c>
      <c r="G49" s="51" t="s">
        <v>150</v>
      </c>
      <c r="H49" s="51" t="s">
        <v>168</v>
      </c>
      <c r="I49" s="51" t="s">
        <v>232</v>
      </c>
      <c r="J49" s="51" t="s">
        <v>237</v>
      </c>
      <c r="K49" s="51" t="s">
        <v>232</v>
      </c>
      <c r="L49" s="51">
        <v>1</v>
      </c>
      <c r="M49" s="37">
        <f t="shared" si="1"/>
        <v>2</v>
      </c>
      <c r="N49" s="51">
        <v>3</v>
      </c>
      <c r="O49" s="63" t="s">
        <v>246</v>
      </c>
      <c r="P49" s="52">
        <v>0.40550000000000003</v>
      </c>
      <c r="Q49" s="52">
        <f t="shared" ref="Q49:Q55" si="19">P49*N49</f>
        <v>1.2165000000000001</v>
      </c>
      <c r="R49" s="71" t="s">
        <v>249</v>
      </c>
      <c r="S49" s="39"/>
    </row>
    <row r="50" spans="1:19" s="61" customFormat="1" ht="48" x14ac:dyDescent="0.25">
      <c r="A50" s="59"/>
      <c r="B50" s="47">
        <f t="shared" si="0"/>
        <v>41</v>
      </c>
      <c r="C50" s="82" t="s">
        <v>250</v>
      </c>
      <c r="D50" s="83" t="s">
        <v>232</v>
      </c>
      <c r="E50" s="83" t="s">
        <v>254</v>
      </c>
      <c r="F50" s="83" t="s">
        <v>232</v>
      </c>
      <c r="G50" s="83" t="s">
        <v>251</v>
      </c>
      <c r="H50" s="83" t="s">
        <v>232</v>
      </c>
      <c r="I50" s="83" t="s">
        <v>232</v>
      </c>
      <c r="J50" s="83" t="s">
        <v>232</v>
      </c>
      <c r="K50" s="83" t="s">
        <v>232</v>
      </c>
      <c r="L50" s="83">
        <v>1</v>
      </c>
      <c r="M50" s="84">
        <f t="shared" si="1"/>
        <v>2</v>
      </c>
      <c r="N50" s="83">
        <v>5</v>
      </c>
      <c r="O50" s="85" t="s">
        <v>253</v>
      </c>
      <c r="P50" s="86">
        <v>7.89</v>
      </c>
      <c r="Q50" s="86">
        <f t="shared" si="19"/>
        <v>39.449999999999996</v>
      </c>
      <c r="R50" s="87"/>
      <c r="S50" s="88"/>
    </row>
    <row r="51" spans="1:19" x14ac:dyDescent="0.25">
      <c r="A51" s="1"/>
      <c r="B51" s="47">
        <f t="shared" si="0"/>
        <v>42</v>
      </c>
      <c r="C51" s="82" t="s">
        <v>250</v>
      </c>
      <c r="D51" s="83" t="s">
        <v>258</v>
      </c>
      <c r="E51" s="83" t="s">
        <v>257</v>
      </c>
      <c r="F51" s="83" t="s">
        <v>232</v>
      </c>
      <c r="G51" s="83" t="s">
        <v>259</v>
      </c>
      <c r="H51" s="83" t="s">
        <v>232</v>
      </c>
      <c r="I51" s="83" t="s">
        <v>232</v>
      </c>
      <c r="J51" s="83" t="s">
        <v>266</v>
      </c>
      <c r="K51" s="83" t="s">
        <v>232</v>
      </c>
      <c r="L51" s="83">
        <v>1</v>
      </c>
      <c r="M51" s="84">
        <f t="shared" si="1"/>
        <v>2</v>
      </c>
      <c r="N51" s="83">
        <v>3</v>
      </c>
      <c r="O51" s="85" t="s">
        <v>246</v>
      </c>
      <c r="P51" s="86">
        <v>0.3962</v>
      </c>
      <c r="Q51" s="86">
        <f t="shared" si="19"/>
        <v>1.1886000000000001</v>
      </c>
      <c r="R51" s="87"/>
      <c r="S51" s="88"/>
    </row>
    <row r="52" spans="1:19" ht="24" x14ac:dyDescent="0.25">
      <c r="A52" s="1"/>
      <c r="B52" s="47">
        <f t="shared" si="0"/>
        <v>43</v>
      </c>
      <c r="C52" s="82" t="s">
        <v>250</v>
      </c>
      <c r="D52" s="83" t="s">
        <v>258</v>
      </c>
      <c r="E52" s="83" t="s">
        <v>260</v>
      </c>
      <c r="F52" s="83" t="s">
        <v>232</v>
      </c>
      <c r="G52" s="83" t="s">
        <v>232</v>
      </c>
      <c r="H52" s="83" t="s">
        <v>232</v>
      </c>
      <c r="I52" s="83" t="s">
        <v>232</v>
      </c>
      <c r="J52" s="83" t="s">
        <v>232</v>
      </c>
      <c r="K52" s="83" t="s">
        <v>232</v>
      </c>
      <c r="L52" s="83">
        <v>1</v>
      </c>
      <c r="M52" s="84">
        <f t="shared" si="1"/>
        <v>2</v>
      </c>
      <c r="N52" s="83"/>
      <c r="O52" s="85"/>
      <c r="P52" s="86"/>
      <c r="Q52" s="86">
        <f t="shared" si="19"/>
        <v>0</v>
      </c>
      <c r="R52" s="87" t="s">
        <v>262</v>
      </c>
      <c r="S52" s="88"/>
    </row>
    <row r="53" spans="1:19" ht="24" x14ac:dyDescent="0.25">
      <c r="A53" s="1"/>
      <c r="B53" s="47">
        <f t="shared" si="0"/>
        <v>44</v>
      </c>
      <c r="C53" s="82" t="s">
        <v>250</v>
      </c>
      <c r="D53" s="83" t="s">
        <v>258</v>
      </c>
      <c r="E53" s="83" t="s">
        <v>261</v>
      </c>
      <c r="F53" s="83" t="s">
        <v>232</v>
      </c>
      <c r="G53" s="83" t="s">
        <v>232</v>
      </c>
      <c r="H53" s="83" t="s">
        <v>232</v>
      </c>
      <c r="I53" s="83" t="s">
        <v>232</v>
      </c>
      <c r="J53" s="83" t="s">
        <v>232</v>
      </c>
      <c r="K53" s="83" t="s">
        <v>232</v>
      </c>
      <c r="L53" s="83">
        <v>1</v>
      </c>
      <c r="M53" s="84">
        <f t="shared" si="1"/>
        <v>2</v>
      </c>
      <c r="N53" s="83"/>
      <c r="O53" s="85"/>
      <c r="P53" s="86"/>
      <c r="Q53" s="86">
        <f t="shared" si="19"/>
        <v>0</v>
      </c>
      <c r="R53" s="87" t="s">
        <v>262</v>
      </c>
      <c r="S53" s="88"/>
    </row>
    <row r="54" spans="1:19" ht="48" x14ac:dyDescent="0.25">
      <c r="A54" s="1"/>
      <c r="B54" s="47">
        <f t="shared" si="0"/>
        <v>45</v>
      </c>
      <c r="C54" s="82" t="s">
        <v>250</v>
      </c>
      <c r="D54" s="83" t="s">
        <v>255</v>
      </c>
      <c r="E54" s="83" t="s">
        <v>256</v>
      </c>
      <c r="F54" s="83" t="s">
        <v>232</v>
      </c>
      <c r="G54" s="83" t="s">
        <v>232</v>
      </c>
      <c r="H54" s="83" t="s">
        <v>232</v>
      </c>
      <c r="I54" s="83" t="s">
        <v>232</v>
      </c>
      <c r="J54" s="83" t="s">
        <v>232</v>
      </c>
      <c r="K54" s="83" t="s">
        <v>232</v>
      </c>
      <c r="L54" s="83">
        <v>1</v>
      </c>
      <c r="M54" s="84">
        <f t="shared" si="1"/>
        <v>2</v>
      </c>
      <c r="N54" s="83">
        <v>2</v>
      </c>
      <c r="O54" s="85" t="s">
        <v>253</v>
      </c>
      <c r="P54" s="86">
        <v>35.64</v>
      </c>
      <c r="Q54" s="86">
        <f t="shared" si="19"/>
        <v>71.28</v>
      </c>
      <c r="R54" s="87"/>
      <c r="S54" s="88"/>
    </row>
    <row r="55" spans="1:19" ht="15.75" thickBot="1" x14ac:dyDescent="0.3">
      <c r="A55" s="1"/>
      <c r="B55" s="47">
        <f t="shared" si="0"/>
        <v>46</v>
      </c>
      <c r="C55" s="82" t="s">
        <v>250</v>
      </c>
      <c r="D55" s="83" t="s">
        <v>263</v>
      </c>
      <c r="E55" s="83" t="s">
        <v>264</v>
      </c>
      <c r="F55" s="83" t="s">
        <v>232</v>
      </c>
      <c r="G55" s="83" t="s">
        <v>265</v>
      </c>
      <c r="H55" s="83" t="s">
        <v>232</v>
      </c>
      <c r="I55" s="83" t="s">
        <v>232</v>
      </c>
      <c r="J55" s="83" t="s">
        <v>267</v>
      </c>
      <c r="K55" s="83" t="s">
        <v>232</v>
      </c>
      <c r="L55" s="83">
        <v>2</v>
      </c>
      <c r="M55" s="84">
        <f t="shared" si="1"/>
        <v>4</v>
      </c>
      <c r="N55" s="83">
        <v>5</v>
      </c>
      <c r="O55" s="85" t="s">
        <v>246</v>
      </c>
      <c r="P55" s="86">
        <v>8.4199999999999997E-2</v>
      </c>
      <c r="Q55" s="86">
        <f t="shared" si="19"/>
        <v>0.42099999999999999</v>
      </c>
      <c r="R55" s="87"/>
      <c r="S55" s="88"/>
    </row>
    <row r="56" spans="1:19" ht="19.5" thickBot="1" x14ac:dyDescent="0.3">
      <c r="A56" s="1"/>
      <c r="B56" s="40"/>
      <c r="C56" s="41"/>
      <c r="D56" s="42"/>
      <c r="E56" s="43"/>
      <c r="F56" s="44"/>
      <c r="G56" s="45"/>
      <c r="H56" s="44"/>
      <c r="I56" s="45"/>
      <c r="J56" s="44"/>
      <c r="K56" s="45"/>
      <c r="L56" s="45"/>
      <c r="M56" s="45"/>
      <c r="N56" s="76" t="s">
        <v>5</v>
      </c>
      <c r="O56" s="77"/>
      <c r="P56" s="77"/>
      <c r="Q56" s="48">
        <f>SUM(Q10:Q55)</f>
        <v>137.47559999999999</v>
      </c>
      <c r="R56" s="78"/>
      <c r="S56" s="79"/>
    </row>
    <row r="57" spans="1:19" ht="19.5" thickBot="1" x14ac:dyDescent="0.3">
      <c r="A57" s="1"/>
      <c r="B57" s="25"/>
      <c r="C57" s="36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76" t="s">
        <v>6</v>
      </c>
      <c r="O57" s="77"/>
      <c r="P57" s="77"/>
      <c r="Q57" s="49">
        <f>Q56/2</f>
        <v>68.737799999999993</v>
      </c>
      <c r="R57" s="80"/>
      <c r="S57" s="81"/>
    </row>
  </sheetData>
  <mergeCells count="5">
    <mergeCell ref="K1:S1"/>
    <mergeCell ref="S3:S8"/>
    <mergeCell ref="N56:P56"/>
    <mergeCell ref="R56:S57"/>
    <mergeCell ref="N57:P57"/>
  </mergeCells>
  <hyperlinks>
    <hyperlink ref="O10" r:id="rId1"/>
    <hyperlink ref="O12" r:id="rId2"/>
    <hyperlink ref="O13" r:id="rId3"/>
    <hyperlink ref="O14" r:id="rId4"/>
    <hyperlink ref="O15" r:id="rId5"/>
    <hyperlink ref="O16" r:id="rId6"/>
    <hyperlink ref="O17" r:id="rId7"/>
    <hyperlink ref="O18" r:id="rId8"/>
    <hyperlink ref="O19" r:id="rId9"/>
    <hyperlink ref="O20" r:id="rId10"/>
    <hyperlink ref="O21" r:id="rId11"/>
    <hyperlink ref="O22" r:id="rId12"/>
    <hyperlink ref="O23" r:id="rId13"/>
    <hyperlink ref="O25" r:id="rId14"/>
    <hyperlink ref="O29" r:id="rId15"/>
    <hyperlink ref="O30" r:id="rId16"/>
    <hyperlink ref="O31" r:id="rId17"/>
    <hyperlink ref="O32" r:id="rId18"/>
    <hyperlink ref="O34" r:id="rId19"/>
    <hyperlink ref="O35" r:id="rId20"/>
    <hyperlink ref="O36" r:id="rId21"/>
    <hyperlink ref="O37" r:id="rId22"/>
    <hyperlink ref="O38" r:id="rId23"/>
    <hyperlink ref="O39" r:id="rId24"/>
    <hyperlink ref="O40" r:id="rId25"/>
    <hyperlink ref="O41" r:id="rId26"/>
    <hyperlink ref="O42" r:id="rId27"/>
    <hyperlink ref="O43" r:id="rId28"/>
    <hyperlink ref="O44" r:id="rId29"/>
    <hyperlink ref="O46" r:id="rId30"/>
    <hyperlink ref="O47" r:id="rId31"/>
    <hyperlink ref="O48" r:id="rId32"/>
    <hyperlink ref="O11" r:id="rId33"/>
    <hyperlink ref="O49" r:id="rId34"/>
    <hyperlink ref="O50" r:id="rId35"/>
    <hyperlink ref="O54" r:id="rId36"/>
    <hyperlink ref="O51" r:id="rId37"/>
    <hyperlink ref="O55" r:id="rId38"/>
  </hyperlinks>
  <pageMargins left="0.7" right="0.7" top="0.75" bottom="0.75" header="0.3" footer="0.3"/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7"/>
  <sheetViews>
    <sheetView topLeftCell="A40" workbookViewId="0">
      <selection activeCell="C50" sqref="C50:S5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42578125" customWidth="1"/>
    <col min="16" max="16" width="18.7109375" bestFit="1" customWidth="1"/>
    <col min="17" max="17" width="19.28515625" bestFit="1" customWidth="1"/>
    <col min="18" max="18" width="12.5703125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6" t="s">
        <v>236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61</v>
      </c>
      <c r="F9" s="30" t="s">
        <v>100</v>
      </c>
      <c r="G9" s="30" t="s">
        <v>120</v>
      </c>
      <c r="H9" s="30" t="s">
        <v>151</v>
      </c>
      <c r="I9" s="30" t="s">
        <v>223</v>
      </c>
      <c r="J9" s="30" t="s">
        <v>169</v>
      </c>
      <c r="K9" s="30" t="s">
        <v>233</v>
      </c>
      <c r="L9" s="30" t="s">
        <v>222</v>
      </c>
      <c r="M9" s="30" t="s">
        <v>225</v>
      </c>
      <c r="N9" s="30" t="s">
        <v>226</v>
      </c>
      <c r="O9" s="30" t="s">
        <v>227</v>
      </c>
      <c r="P9" s="30" t="s">
        <v>228</v>
      </c>
      <c r="Q9" s="30" t="s">
        <v>229</v>
      </c>
      <c r="R9" s="30" t="s">
        <v>230</v>
      </c>
      <c r="S9" s="30" t="s">
        <v>231</v>
      </c>
    </row>
    <row r="10" spans="1:19" x14ac:dyDescent="0.25">
      <c r="A10" s="1"/>
      <c r="B10" s="46">
        <f>ROW(B10) - ROW($B$9)</f>
        <v>1</v>
      </c>
      <c r="C10" s="53" t="s">
        <v>9</v>
      </c>
      <c r="D10" s="37" t="s">
        <v>21</v>
      </c>
      <c r="E10" s="37" t="s">
        <v>62</v>
      </c>
      <c r="F10" s="37" t="s">
        <v>101</v>
      </c>
      <c r="G10" s="37" t="s">
        <v>121</v>
      </c>
      <c r="H10" s="37" t="s">
        <v>152</v>
      </c>
      <c r="I10" s="37" t="s">
        <v>232</v>
      </c>
      <c r="J10" s="37" t="s">
        <v>170</v>
      </c>
      <c r="K10" s="37" t="s">
        <v>202</v>
      </c>
      <c r="L10" s="37">
        <v>3</v>
      </c>
      <c r="M10" s="37">
        <f>L10*5</f>
        <v>15</v>
      </c>
      <c r="N10" s="37">
        <v>100</v>
      </c>
      <c r="O10" s="62" t="s">
        <v>246</v>
      </c>
      <c r="P10" s="38">
        <v>4.0000000000000001E-3</v>
      </c>
      <c r="Q10" s="38">
        <f>P10*N10</f>
        <v>0.4</v>
      </c>
      <c r="R10" s="37"/>
      <c r="S10" s="50"/>
    </row>
    <row r="11" spans="1:19" ht="24" x14ac:dyDescent="0.25">
      <c r="A11" s="1"/>
      <c r="B11" s="47">
        <f t="shared" ref="B11:B55" si="0">ROW(B11) - ROW($B$9)</f>
        <v>2</v>
      </c>
      <c r="C11" s="54" t="s">
        <v>9</v>
      </c>
      <c r="D11" s="51" t="s">
        <v>22</v>
      </c>
      <c r="E11" s="51" t="s">
        <v>63</v>
      </c>
      <c r="F11" s="51" t="s">
        <v>101</v>
      </c>
      <c r="G11" s="65" t="s">
        <v>122</v>
      </c>
      <c r="H11" s="51" t="s">
        <v>152</v>
      </c>
      <c r="I11" s="51" t="s">
        <v>247</v>
      </c>
      <c r="J11" s="51" t="s">
        <v>248</v>
      </c>
      <c r="K11" s="51" t="s">
        <v>203</v>
      </c>
      <c r="L11" s="51">
        <v>11</v>
      </c>
      <c r="M11" s="51">
        <f t="shared" ref="M11" si="1">L11*5</f>
        <v>55</v>
      </c>
      <c r="N11" s="51">
        <v>100</v>
      </c>
      <c r="O11" s="63" t="s">
        <v>246</v>
      </c>
      <c r="P11" s="52">
        <v>2.3999999999999998E-3</v>
      </c>
      <c r="Q11" s="52">
        <f t="shared" ref="Q11" si="2">P11*N11</f>
        <v>0.24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9</v>
      </c>
      <c r="D12" s="37" t="s">
        <v>23</v>
      </c>
      <c r="E12" s="37" t="s">
        <v>64</v>
      </c>
      <c r="F12" s="37" t="s">
        <v>101</v>
      </c>
      <c r="G12" s="37" t="s">
        <v>123</v>
      </c>
      <c r="H12" s="37" t="s">
        <v>152</v>
      </c>
      <c r="I12" s="37" t="s">
        <v>232</v>
      </c>
      <c r="J12" s="37" t="s">
        <v>171</v>
      </c>
      <c r="K12" s="37" t="s">
        <v>204</v>
      </c>
      <c r="L12" s="37">
        <v>2</v>
      </c>
      <c r="M12" s="37">
        <f>L12*5</f>
        <v>10</v>
      </c>
      <c r="N12" s="37">
        <v>15</v>
      </c>
      <c r="O12" s="62" t="s">
        <v>246</v>
      </c>
      <c r="P12" s="38">
        <v>0.14849999999999999</v>
      </c>
      <c r="Q12" s="38">
        <f>P12*N12</f>
        <v>2.2275</v>
      </c>
      <c r="R12" s="37"/>
      <c r="S12" s="58"/>
    </row>
    <row r="13" spans="1:19" ht="24" x14ac:dyDescent="0.25">
      <c r="A13" s="1"/>
      <c r="B13" s="47">
        <f t="shared" si="0"/>
        <v>4</v>
      </c>
      <c r="C13" s="54" t="s">
        <v>9</v>
      </c>
      <c r="D13" s="51" t="s">
        <v>24</v>
      </c>
      <c r="E13" s="51" t="s">
        <v>65</v>
      </c>
      <c r="F13" s="51" t="s">
        <v>102</v>
      </c>
      <c r="G13" s="51" t="s">
        <v>124</v>
      </c>
      <c r="H13" s="51" t="s">
        <v>152</v>
      </c>
      <c r="I13" s="51" t="s">
        <v>232</v>
      </c>
      <c r="J13" s="51" t="s">
        <v>172</v>
      </c>
      <c r="K13" s="51" t="s">
        <v>205</v>
      </c>
      <c r="L13" s="51">
        <v>9</v>
      </c>
      <c r="M13" s="51">
        <f t="shared" ref="M13" si="3">L13*5</f>
        <v>45</v>
      </c>
      <c r="N13" s="51">
        <v>50</v>
      </c>
      <c r="O13" s="63" t="s">
        <v>246</v>
      </c>
      <c r="P13" s="52">
        <v>6.4199999999999993E-2</v>
      </c>
      <c r="Q13" s="52">
        <f t="shared" ref="Q13" si="4">P13*N13</f>
        <v>3.2099999999999995</v>
      </c>
      <c r="R13" s="51"/>
      <c r="S13" s="58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25</v>
      </c>
      <c r="E14" s="37" t="s">
        <v>66</v>
      </c>
      <c r="F14" s="37" t="s">
        <v>103</v>
      </c>
      <c r="G14" s="37" t="s">
        <v>125</v>
      </c>
      <c r="H14" s="37" t="s">
        <v>152</v>
      </c>
      <c r="I14" s="51" t="s">
        <v>232</v>
      </c>
      <c r="J14" s="37" t="s">
        <v>173</v>
      </c>
      <c r="K14" s="37" t="s">
        <v>206</v>
      </c>
      <c r="L14" s="37">
        <v>1</v>
      </c>
      <c r="M14" s="37">
        <f>L14*5</f>
        <v>5</v>
      </c>
      <c r="N14" s="37">
        <v>100</v>
      </c>
      <c r="O14" s="63" t="s">
        <v>246</v>
      </c>
      <c r="P14" s="38">
        <v>1E-3</v>
      </c>
      <c r="Q14" s="38">
        <f>P14*N14</f>
        <v>0.1</v>
      </c>
      <c r="R14" s="37"/>
      <c r="S14" s="58"/>
    </row>
    <row r="15" spans="1:19" x14ac:dyDescent="0.25">
      <c r="A15" s="1"/>
      <c r="B15" s="47">
        <f t="shared" si="0"/>
        <v>6</v>
      </c>
      <c r="C15" s="54" t="s">
        <v>9</v>
      </c>
      <c r="D15" s="51" t="s">
        <v>26</v>
      </c>
      <c r="E15" s="51" t="s">
        <v>67</v>
      </c>
      <c r="F15" s="51" t="s">
        <v>101</v>
      </c>
      <c r="G15" s="51" t="s">
        <v>126</v>
      </c>
      <c r="H15" s="51" t="s">
        <v>152</v>
      </c>
      <c r="I15" s="37" t="s">
        <v>232</v>
      </c>
      <c r="J15" s="51" t="s">
        <v>174</v>
      </c>
      <c r="K15" s="51" t="s">
        <v>207</v>
      </c>
      <c r="L15" s="51">
        <v>3</v>
      </c>
      <c r="M15" s="51">
        <f t="shared" ref="M15" si="5">L15*5</f>
        <v>15</v>
      </c>
      <c r="N15" s="51">
        <v>100</v>
      </c>
      <c r="O15" s="63" t="s">
        <v>246</v>
      </c>
      <c r="P15" s="52">
        <v>4.7000000000000002E-3</v>
      </c>
      <c r="Q15" s="52">
        <f t="shared" ref="Q15" si="6">P15*N15</f>
        <v>0.47000000000000003</v>
      </c>
      <c r="R15" s="51"/>
      <c r="S15" s="58"/>
    </row>
    <row r="16" spans="1:19" ht="36" x14ac:dyDescent="0.25">
      <c r="A16" s="1"/>
      <c r="B16" s="46">
        <f>ROW(B16) - ROW($B$9)</f>
        <v>7</v>
      </c>
      <c r="C16" s="53" t="s">
        <v>9</v>
      </c>
      <c r="D16" s="37" t="s">
        <v>27</v>
      </c>
      <c r="E16" s="37" t="s">
        <v>68</v>
      </c>
      <c r="F16" s="37" t="s">
        <v>234</v>
      </c>
      <c r="G16" s="37" t="s">
        <v>104</v>
      </c>
      <c r="H16" s="37" t="s">
        <v>153</v>
      </c>
      <c r="I16" s="51" t="s">
        <v>232</v>
      </c>
      <c r="J16" s="37" t="s">
        <v>175</v>
      </c>
      <c r="K16" s="37" t="s">
        <v>208</v>
      </c>
      <c r="L16" s="37">
        <v>1</v>
      </c>
      <c r="M16" s="37">
        <f>L16*5</f>
        <v>5</v>
      </c>
      <c r="N16" s="37">
        <v>10</v>
      </c>
      <c r="O16" s="63" t="s">
        <v>246</v>
      </c>
      <c r="P16" s="38">
        <v>7.6999999999999999E-2</v>
      </c>
      <c r="Q16" s="38">
        <f>P16*N16</f>
        <v>0.77</v>
      </c>
      <c r="R16" s="37"/>
      <c r="S16" s="58"/>
    </row>
    <row r="17" spans="1:19" ht="36" x14ac:dyDescent="0.25">
      <c r="A17" s="1"/>
      <c r="B17" s="47">
        <f t="shared" si="0"/>
        <v>8</v>
      </c>
      <c r="C17" s="54" t="s">
        <v>9</v>
      </c>
      <c r="D17" s="51" t="s">
        <v>28</v>
      </c>
      <c r="E17" s="51" t="s">
        <v>69</v>
      </c>
      <c r="F17" s="37" t="s">
        <v>234</v>
      </c>
      <c r="G17" s="51" t="s">
        <v>105</v>
      </c>
      <c r="H17" s="51" t="s">
        <v>153</v>
      </c>
      <c r="I17" s="51" t="s">
        <v>232</v>
      </c>
      <c r="J17" s="51" t="s">
        <v>176</v>
      </c>
      <c r="K17" s="51" t="s">
        <v>209</v>
      </c>
      <c r="L17" s="51">
        <v>1</v>
      </c>
      <c r="M17" s="51">
        <f t="shared" ref="M17" si="7">L17*5</f>
        <v>5</v>
      </c>
      <c r="N17" s="51">
        <v>10</v>
      </c>
      <c r="O17" s="63" t="s">
        <v>246</v>
      </c>
      <c r="P17" s="52">
        <v>4.9099999999999998E-2</v>
      </c>
      <c r="Q17" s="52">
        <f t="shared" ref="Q17" si="8">P17*N17</f>
        <v>0.49099999999999999</v>
      </c>
      <c r="R17" s="51"/>
      <c r="S17" s="58"/>
    </row>
    <row r="18" spans="1:19" ht="36" x14ac:dyDescent="0.25">
      <c r="A18" s="1"/>
      <c r="B18" s="46">
        <f>ROW(B18) - ROW($B$9)</f>
        <v>9</v>
      </c>
      <c r="C18" s="53" t="s">
        <v>9</v>
      </c>
      <c r="D18" s="37" t="s">
        <v>29</v>
      </c>
      <c r="E18" s="37" t="s">
        <v>70</v>
      </c>
      <c r="F18" s="37" t="s">
        <v>234</v>
      </c>
      <c r="G18" s="37" t="s">
        <v>106</v>
      </c>
      <c r="H18" s="37" t="s">
        <v>154</v>
      </c>
      <c r="I18" s="37" t="s">
        <v>232</v>
      </c>
      <c r="J18" s="37" t="s">
        <v>177</v>
      </c>
      <c r="K18" s="37" t="s">
        <v>210</v>
      </c>
      <c r="L18" s="37">
        <v>1</v>
      </c>
      <c r="M18" s="37">
        <f>L18*5</f>
        <v>5</v>
      </c>
      <c r="N18" s="37">
        <v>10</v>
      </c>
      <c r="O18" s="63" t="s">
        <v>246</v>
      </c>
      <c r="P18" s="38">
        <v>7.2700000000000001E-2</v>
      </c>
      <c r="Q18" s="38">
        <f>P18*N18</f>
        <v>0.72699999999999998</v>
      </c>
      <c r="R18" s="37"/>
      <c r="S18" s="58"/>
    </row>
    <row r="19" spans="1:19" x14ac:dyDescent="0.25">
      <c r="A19" s="1"/>
      <c r="B19" s="47">
        <f t="shared" si="0"/>
        <v>10</v>
      </c>
      <c r="C19" s="53" t="s">
        <v>9</v>
      </c>
      <c r="D19" s="51" t="s">
        <v>30</v>
      </c>
      <c r="E19" s="51" t="s">
        <v>71</v>
      </c>
      <c r="F19" s="51" t="s">
        <v>101</v>
      </c>
      <c r="G19" s="51" t="s">
        <v>127</v>
      </c>
      <c r="H19" s="51" t="s">
        <v>152</v>
      </c>
      <c r="I19" s="51" t="s">
        <v>232</v>
      </c>
      <c r="J19" s="51" t="s">
        <v>178</v>
      </c>
      <c r="K19" s="51" t="s">
        <v>211</v>
      </c>
      <c r="L19" s="51">
        <v>1</v>
      </c>
      <c r="M19" s="51">
        <f t="shared" ref="M19" si="9">L19*5</f>
        <v>5</v>
      </c>
      <c r="N19" s="51">
        <v>100</v>
      </c>
      <c r="O19" s="63" t="s">
        <v>246</v>
      </c>
      <c r="P19" s="52">
        <v>2.5000000000000001E-3</v>
      </c>
      <c r="Q19" s="52">
        <f t="shared" ref="Q19" si="10">P19*N19</f>
        <v>0.25</v>
      </c>
      <c r="R19" s="51"/>
      <c r="S19" s="58"/>
    </row>
    <row r="20" spans="1:19" x14ac:dyDescent="0.25">
      <c r="A20" s="1"/>
      <c r="B20" s="46">
        <f>ROW(B20) - ROW($B$9)</f>
        <v>11</v>
      </c>
      <c r="C20" s="53" t="s">
        <v>9</v>
      </c>
      <c r="D20" s="37" t="s">
        <v>31</v>
      </c>
      <c r="E20" s="37" t="s">
        <v>72</v>
      </c>
      <c r="F20" s="37" t="s">
        <v>107</v>
      </c>
      <c r="G20" s="37" t="s">
        <v>128</v>
      </c>
      <c r="H20" s="37" t="s">
        <v>152</v>
      </c>
      <c r="I20" s="51" t="s">
        <v>232</v>
      </c>
      <c r="J20" s="37" t="s">
        <v>179</v>
      </c>
      <c r="K20" s="37" t="s">
        <v>212</v>
      </c>
      <c r="L20" s="37">
        <v>1</v>
      </c>
      <c r="M20" s="37">
        <f>L20*5</f>
        <v>5</v>
      </c>
      <c r="N20" s="37">
        <v>50</v>
      </c>
      <c r="O20" s="63" t="s">
        <v>246</v>
      </c>
      <c r="P20" s="38">
        <v>1.8499999999999999E-2</v>
      </c>
      <c r="Q20" s="38">
        <f>P20*N20</f>
        <v>0.92499999999999993</v>
      </c>
      <c r="R20" s="37"/>
      <c r="S20" s="58"/>
    </row>
    <row r="21" spans="1:19" x14ac:dyDescent="0.25">
      <c r="A21" s="1"/>
      <c r="B21" s="47">
        <f t="shared" si="0"/>
        <v>12</v>
      </c>
      <c r="C21" s="54" t="s">
        <v>9</v>
      </c>
      <c r="D21" s="51" t="s">
        <v>32</v>
      </c>
      <c r="E21" s="51" t="s">
        <v>73</v>
      </c>
      <c r="F21" s="51" t="s">
        <v>101</v>
      </c>
      <c r="G21" s="51" t="s">
        <v>129</v>
      </c>
      <c r="H21" s="51" t="s">
        <v>152</v>
      </c>
      <c r="I21" s="37" t="s">
        <v>232</v>
      </c>
      <c r="J21" s="51" t="s">
        <v>180</v>
      </c>
      <c r="K21" s="51" t="s">
        <v>205</v>
      </c>
      <c r="L21" s="51">
        <v>2</v>
      </c>
      <c r="M21" s="51">
        <f t="shared" ref="M21" si="11">L21*5</f>
        <v>10</v>
      </c>
      <c r="N21" s="51">
        <v>20</v>
      </c>
      <c r="O21" s="63" t="s">
        <v>246</v>
      </c>
      <c r="P21" s="52">
        <v>3.5400000000000001E-2</v>
      </c>
      <c r="Q21" s="52">
        <f t="shared" ref="Q21" si="12">P21*N21</f>
        <v>0.70799999999999996</v>
      </c>
      <c r="R21" s="51"/>
      <c r="S21" s="58"/>
    </row>
    <row r="22" spans="1:19" x14ac:dyDescent="0.25">
      <c r="A22" s="1"/>
      <c r="B22" s="46">
        <f>ROW(B22) - ROW($B$9)</f>
        <v>13</v>
      </c>
      <c r="C22" s="53" t="s">
        <v>10</v>
      </c>
      <c r="D22" s="37" t="s">
        <v>33</v>
      </c>
      <c r="E22" s="37" t="s">
        <v>74</v>
      </c>
      <c r="F22" s="37" t="s">
        <v>108</v>
      </c>
      <c r="G22" s="37" t="s">
        <v>130</v>
      </c>
      <c r="H22" s="37" t="s">
        <v>155</v>
      </c>
      <c r="I22" s="51" t="s">
        <v>232</v>
      </c>
      <c r="J22" s="37" t="s">
        <v>181</v>
      </c>
      <c r="K22" s="37" t="s">
        <v>232</v>
      </c>
      <c r="L22" s="37">
        <v>1</v>
      </c>
      <c r="M22" s="37">
        <f>L22*5</f>
        <v>5</v>
      </c>
      <c r="N22" s="37">
        <v>10</v>
      </c>
      <c r="O22" s="63" t="s">
        <v>246</v>
      </c>
      <c r="P22" s="38">
        <v>2.0400000000000001E-2</v>
      </c>
      <c r="Q22" s="38">
        <f>P22*N22</f>
        <v>0.20400000000000001</v>
      </c>
      <c r="R22" s="37"/>
      <c r="S22" s="58"/>
    </row>
    <row r="23" spans="1:19" x14ac:dyDescent="0.25">
      <c r="A23" s="1"/>
      <c r="B23" s="47">
        <f t="shared" si="0"/>
        <v>14</v>
      </c>
      <c r="C23" s="54" t="s">
        <v>11</v>
      </c>
      <c r="D23" s="51" t="s">
        <v>34</v>
      </c>
      <c r="E23" s="51" t="s">
        <v>75</v>
      </c>
      <c r="F23" s="37" t="s">
        <v>234</v>
      </c>
      <c r="G23" s="51" t="s">
        <v>131</v>
      </c>
      <c r="H23" s="51" t="s">
        <v>156</v>
      </c>
      <c r="I23" s="51" t="s">
        <v>232</v>
      </c>
      <c r="J23" s="51" t="s">
        <v>182</v>
      </c>
      <c r="K23" s="51" t="s">
        <v>232</v>
      </c>
      <c r="L23" s="51">
        <v>1</v>
      </c>
      <c r="M23" s="51">
        <f t="shared" ref="M23" si="13">L23*5</f>
        <v>5</v>
      </c>
      <c r="N23" s="51">
        <v>20</v>
      </c>
      <c r="O23" s="63" t="s">
        <v>246</v>
      </c>
      <c r="P23" s="52">
        <v>3.3700000000000001E-2</v>
      </c>
      <c r="Q23" s="52">
        <f t="shared" ref="Q23" si="14">P23*N23</f>
        <v>0.67400000000000004</v>
      </c>
      <c r="R23" s="51"/>
      <c r="S23" s="58"/>
    </row>
    <row r="24" spans="1:19" x14ac:dyDescent="0.25">
      <c r="A24" s="1"/>
      <c r="B24" s="46">
        <f>ROW(B24) - ROW($B$9)</f>
        <v>15</v>
      </c>
      <c r="C24" s="64" t="s">
        <v>12</v>
      </c>
      <c r="D24" s="65" t="s">
        <v>35</v>
      </c>
      <c r="E24" s="65" t="s">
        <v>76</v>
      </c>
      <c r="F24" s="68" t="s">
        <v>234</v>
      </c>
      <c r="G24" s="65" t="s">
        <v>109</v>
      </c>
      <c r="H24" s="65"/>
      <c r="I24" s="68" t="s">
        <v>232</v>
      </c>
      <c r="J24" s="65" t="s">
        <v>232</v>
      </c>
      <c r="K24" s="65" t="s">
        <v>232</v>
      </c>
      <c r="L24" s="65">
        <v>2</v>
      </c>
      <c r="M24" s="65">
        <f>L24*5</f>
        <v>10</v>
      </c>
      <c r="N24" s="65"/>
      <c r="O24" s="65" t="s">
        <v>232</v>
      </c>
      <c r="P24" s="65"/>
      <c r="Q24" s="66">
        <f>P24*N24</f>
        <v>0</v>
      </c>
      <c r="R24" s="65"/>
      <c r="S24" s="58"/>
    </row>
    <row r="25" spans="1:19" ht="24" x14ac:dyDescent="0.25">
      <c r="A25" s="1"/>
      <c r="B25" s="47">
        <f t="shared" si="0"/>
        <v>16</v>
      </c>
      <c r="C25" s="54" t="s">
        <v>13</v>
      </c>
      <c r="D25" s="51" t="s">
        <v>36</v>
      </c>
      <c r="E25" s="51" t="s">
        <v>77</v>
      </c>
      <c r="F25" s="37" t="s">
        <v>234</v>
      </c>
      <c r="G25" s="51" t="s">
        <v>132</v>
      </c>
      <c r="H25" s="51" t="s">
        <v>157</v>
      </c>
      <c r="I25" s="51" t="s">
        <v>232</v>
      </c>
      <c r="J25" s="51" t="s">
        <v>183</v>
      </c>
      <c r="K25" s="51" t="s">
        <v>232</v>
      </c>
      <c r="L25" s="51">
        <v>1</v>
      </c>
      <c r="M25" s="51">
        <f t="shared" ref="M25" si="15">L25*5</f>
        <v>5</v>
      </c>
      <c r="N25" s="51">
        <v>10</v>
      </c>
      <c r="O25" s="63" t="s">
        <v>246</v>
      </c>
      <c r="P25" s="52">
        <v>0.21590000000000001</v>
      </c>
      <c r="Q25" s="52">
        <f t="shared" ref="Q25" si="16">P25*N25</f>
        <v>2.1590000000000003</v>
      </c>
      <c r="R25" s="51"/>
      <c r="S25" s="58"/>
    </row>
    <row r="26" spans="1:19" ht="24" x14ac:dyDescent="0.25">
      <c r="A26" s="1"/>
      <c r="B26" s="46">
        <f>ROW(B26) - ROW($B$9)</f>
        <v>17</v>
      </c>
      <c r="C26" s="53" t="s">
        <v>14</v>
      </c>
      <c r="D26" s="37" t="s">
        <v>37</v>
      </c>
      <c r="E26" s="37" t="s">
        <v>78</v>
      </c>
      <c r="F26" s="37" t="s">
        <v>234</v>
      </c>
      <c r="G26" s="37" t="s">
        <v>110</v>
      </c>
      <c r="H26" s="37" t="s">
        <v>232</v>
      </c>
      <c r="I26" s="51" t="s">
        <v>232</v>
      </c>
      <c r="J26" s="37" t="s">
        <v>232</v>
      </c>
      <c r="K26" s="37" t="s">
        <v>232</v>
      </c>
      <c r="L26" s="37">
        <v>1</v>
      </c>
      <c r="M26" s="37">
        <f>L26*5</f>
        <v>5</v>
      </c>
      <c r="N26" s="51" t="s">
        <v>232</v>
      </c>
      <c r="O26" s="51" t="s">
        <v>232</v>
      </c>
      <c r="P26" s="51" t="s">
        <v>232</v>
      </c>
      <c r="Q26" s="38" t="s">
        <v>232</v>
      </c>
      <c r="R26" s="37"/>
      <c r="S26" s="58"/>
    </row>
    <row r="27" spans="1:19" x14ac:dyDescent="0.25">
      <c r="A27" s="1"/>
      <c r="B27" s="47">
        <f t="shared" si="0"/>
        <v>18</v>
      </c>
      <c r="C27" s="64" t="s">
        <v>12</v>
      </c>
      <c r="D27" s="65" t="s">
        <v>38</v>
      </c>
      <c r="E27" s="65" t="s">
        <v>76</v>
      </c>
      <c r="F27" s="68" t="s">
        <v>234</v>
      </c>
      <c r="G27" s="65" t="s">
        <v>109</v>
      </c>
      <c r="H27" s="65" t="s">
        <v>232</v>
      </c>
      <c r="I27" s="68" t="s">
        <v>232</v>
      </c>
      <c r="J27" s="65" t="s">
        <v>232</v>
      </c>
      <c r="K27" s="65" t="s">
        <v>232</v>
      </c>
      <c r="L27" s="65">
        <v>1</v>
      </c>
      <c r="M27" s="65">
        <f t="shared" ref="M27" si="17">L27*5</f>
        <v>5</v>
      </c>
      <c r="N27" s="65" t="s">
        <v>232</v>
      </c>
      <c r="O27" s="65" t="s">
        <v>232</v>
      </c>
      <c r="P27" s="65" t="s">
        <v>232</v>
      </c>
      <c r="Q27" s="66" t="s">
        <v>232</v>
      </c>
      <c r="R27" s="65"/>
      <c r="S27" s="58"/>
    </row>
    <row r="28" spans="1:19" x14ac:dyDescent="0.25">
      <c r="A28" s="1"/>
      <c r="B28" s="46">
        <f>ROW(B28) - ROW($B$9)</f>
        <v>19</v>
      </c>
      <c r="C28" s="69" t="s">
        <v>12</v>
      </c>
      <c r="D28" s="68" t="s">
        <v>39</v>
      </c>
      <c r="E28" s="68" t="s">
        <v>76</v>
      </c>
      <c r="F28" s="68" t="s">
        <v>234</v>
      </c>
      <c r="G28" s="68" t="s">
        <v>109</v>
      </c>
      <c r="H28" s="68" t="s">
        <v>232</v>
      </c>
      <c r="I28" s="65" t="s">
        <v>232</v>
      </c>
      <c r="J28" s="68" t="s">
        <v>232</v>
      </c>
      <c r="K28" s="68" t="s">
        <v>232</v>
      </c>
      <c r="L28" s="68">
        <v>1</v>
      </c>
      <c r="M28" s="68">
        <f>L28*5</f>
        <v>5</v>
      </c>
      <c r="N28" s="65" t="s">
        <v>232</v>
      </c>
      <c r="O28" s="65" t="s">
        <v>232</v>
      </c>
      <c r="P28" s="65" t="s">
        <v>232</v>
      </c>
      <c r="Q28" s="70" t="s">
        <v>232</v>
      </c>
      <c r="R28" s="68"/>
      <c r="S28" s="58"/>
    </row>
    <row r="29" spans="1:19" ht="24" x14ac:dyDescent="0.25">
      <c r="A29" s="1"/>
      <c r="B29" s="47">
        <f t="shared" si="0"/>
        <v>20</v>
      </c>
      <c r="C29" s="54" t="s">
        <v>15</v>
      </c>
      <c r="D29" s="51" t="s">
        <v>40</v>
      </c>
      <c r="E29" s="51" t="s">
        <v>79</v>
      </c>
      <c r="F29" s="37" t="s">
        <v>234</v>
      </c>
      <c r="G29" s="51" t="s">
        <v>111</v>
      </c>
      <c r="H29" s="51" t="s">
        <v>158</v>
      </c>
      <c r="I29" s="51" t="s">
        <v>232</v>
      </c>
      <c r="J29" s="51" t="s">
        <v>184</v>
      </c>
      <c r="K29" s="51" t="s">
        <v>213</v>
      </c>
      <c r="L29" s="51">
        <v>1</v>
      </c>
      <c r="M29" s="51">
        <f t="shared" ref="M29" si="18">L29*5</f>
        <v>5</v>
      </c>
      <c r="N29" s="51">
        <v>10</v>
      </c>
      <c r="O29" s="63" t="s">
        <v>246</v>
      </c>
      <c r="P29" s="52">
        <v>0.20610000000000001</v>
      </c>
      <c r="Q29" s="52">
        <f t="shared" ref="Q29" si="19">P29*N29</f>
        <v>2.0609999999999999</v>
      </c>
      <c r="R29" s="51"/>
      <c r="S29" s="58"/>
    </row>
    <row r="30" spans="1:19" ht="24" x14ac:dyDescent="0.25">
      <c r="A30" s="1"/>
      <c r="B30" s="46">
        <f>ROW(B30) - ROW($B$9)</f>
        <v>21</v>
      </c>
      <c r="C30" s="53" t="s">
        <v>16</v>
      </c>
      <c r="D30" s="37" t="s">
        <v>41</v>
      </c>
      <c r="E30" s="37" t="s">
        <v>80</v>
      </c>
      <c r="F30" s="37" t="s">
        <v>112</v>
      </c>
      <c r="G30" s="37" t="s">
        <v>133</v>
      </c>
      <c r="H30" s="37" t="s">
        <v>159</v>
      </c>
      <c r="I30" s="37" t="s">
        <v>232</v>
      </c>
      <c r="J30" s="37" t="s">
        <v>185</v>
      </c>
      <c r="K30" s="37" t="s">
        <v>232</v>
      </c>
      <c r="L30" s="37">
        <v>3</v>
      </c>
      <c r="M30" s="37">
        <f>L30*5</f>
        <v>15</v>
      </c>
      <c r="N30" s="37">
        <v>20</v>
      </c>
      <c r="O30" s="63" t="s">
        <v>246</v>
      </c>
      <c r="P30" s="38">
        <v>2.4199999999999999E-2</v>
      </c>
      <c r="Q30" s="38">
        <f>P30*N30</f>
        <v>0.48399999999999999</v>
      </c>
      <c r="R30" s="37"/>
      <c r="S30" s="58"/>
    </row>
    <row r="31" spans="1:19" ht="36" x14ac:dyDescent="0.25">
      <c r="A31" s="1"/>
      <c r="B31" s="47">
        <f t="shared" si="0"/>
        <v>22</v>
      </c>
      <c r="C31" s="54" t="s">
        <v>16</v>
      </c>
      <c r="D31" s="51" t="s">
        <v>42</v>
      </c>
      <c r="E31" s="51" t="s">
        <v>81</v>
      </c>
      <c r="F31" s="51" t="s">
        <v>112</v>
      </c>
      <c r="G31" s="51" t="s">
        <v>134</v>
      </c>
      <c r="H31" s="51" t="s">
        <v>160</v>
      </c>
      <c r="I31" s="51" t="s">
        <v>232</v>
      </c>
      <c r="J31" s="51" t="s">
        <v>186</v>
      </c>
      <c r="K31" s="51" t="s">
        <v>232</v>
      </c>
      <c r="L31" s="51">
        <v>1</v>
      </c>
      <c r="M31" s="51">
        <f t="shared" ref="M31" si="20">L31*5</f>
        <v>5</v>
      </c>
      <c r="N31" s="51">
        <v>20</v>
      </c>
      <c r="O31" s="63" t="s">
        <v>246</v>
      </c>
      <c r="P31" s="52">
        <v>2.6200000000000001E-2</v>
      </c>
      <c r="Q31" s="52">
        <f t="shared" ref="Q31" si="21">P31*N31</f>
        <v>0.52400000000000002</v>
      </c>
      <c r="R31" s="51"/>
      <c r="S31" s="58"/>
    </row>
    <row r="32" spans="1:19" ht="24" x14ac:dyDescent="0.25">
      <c r="A32" s="1"/>
      <c r="B32" s="46">
        <f>ROW(B32) - ROW($B$9)</f>
        <v>23</v>
      </c>
      <c r="C32" s="53" t="s">
        <v>16</v>
      </c>
      <c r="D32" s="37" t="s">
        <v>43</v>
      </c>
      <c r="E32" s="37" t="s">
        <v>82</v>
      </c>
      <c r="F32" s="37" t="s">
        <v>112</v>
      </c>
      <c r="G32" s="37" t="s">
        <v>135</v>
      </c>
      <c r="H32" s="37" t="s">
        <v>159</v>
      </c>
      <c r="I32" s="37" t="s">
        <v>232</v>
      </c>
      <c r="J32" s="37" t="s">
        <v>187</v>
      </c>
      <c r="K32" s="37" t="s">
        <v>232</v>
      </c>
      <c r="L32" s="37">
        <v>2</v>
      </c>
      <c r="M32" s="37">
        <f>L32*5</f>
        <v>10</v>
      </c>
      <c r="N32" s="37">
        <v>20</v>
      </c>
      <c r="O32" s="63" t="s">
        <v>246</v>
      </c>
      <c r="P32" s="38">
        <v>2.29E-2</v>
      </c>
      <c r="Q32" s="38">
        <f>P32*N32</f>
        <v>0.45800000000000002</v>
      </c>
      <c r="R32" s="37"/>
      <c r="S32" s="58"/>
    </row>
    <row r="33" spans="1:19" x14ac:dyDescent="0.25">
      <c r="A33" s="1"/>
      <c r="B33" s="47">
        <f t="shared" si="0"/>
        <v>24</v>
      </c>
      <c r="C33" s="64" t="s">
        <v>17</v>
      </c>
      <c r="D33" s="65" t="s">
        <v>44</v>
      </c>
      <c r="E33" s="65" t="s">
        <v>83</v>
      </c>
      <c r="F33" s="68" t="s">
        <v>234</v>
      </c>
      <c r="G33" s="65" t="s">
        <v>232</v>
      </c>
      <c r="H33" s="65" t="s">
        <v>232</v>
      </c>
      <c r="I33" s="68" t="s">
        <v>232</v>
      </c>
      <c r="J33" s="65" t="s">
        <v>232</v>
      </c>
      <c r="K33" s="65" t="s">
        <v>232</v>
      </c>
      <c r="L33" s="65">
        <v>1</v>
      </c>
      <c r="M33" s="65">
        <f t="shared" ref="M33" si="22">L33*5</f>
        <v>5</v>
      </c>
      <c r="N33" s="65" t="s">
        <v>232</v>
      </c>
      <c r="O33" s="65" t="s">
        <v>232</v>
      </c>
      <c r="P33" s="65" t="s">
        <v>232</v>
      </c>
      <c r="Q33" s="66" t="s">
        <v>232</v>
      </c>
      <c r="R33" s="65"/>
      <c r="S33" s="58"/>
    </row>
    <row r="34" spans="1:19" ht="24" x14ac:dyDescent="0.25">
      <c r="A34" s="1"/>
      <c r="B34" s="46">
        <f>ROW(B34) - ROW($B$9)</f>
        <v>25</v>
      </c>
      <c r="C34" s="53" t="s">
        <v>9</v>
      </c>
      <c r="D34" s="37" t="s">
        <v>45</v>
      </c>
      <c r="E34" s="37" t="s">
        <v>84</v>
      </c>
      <c r="F34" s="37" t="s">
        <v>113</v>
      </c>
      <c r="G34" s="37" t="s">
        <v>136</v>
      </c>
      <c r="H34" s="37" t="s">
        <v>161</v>
      </c>
      <c r="I34" s="37" t="s">
        <v>232</v>
      </c>
      <c r="J34" s="37" t="s">
        <v>188</v>
      </c>
      <c r="K34" s="37" t="s">
        <v>214</v>
      </c>
      <c r="L34" s="37">
        <v>1</v>
      </c>
      <c r="M34" s="37">
        <f>L34*5</f>
        <v>5</v>
      </c>
      <c r="N34" s="37">
        <v>10</v>
      </c>
      <c r="O34" s="63" t="s">
        <v>246</v>
      </c>
      <c r="P34" s="38">
        <v>8.4400000000000003E-2</v>
      </c>
      <c r="Q34" s="38">
        <f>P34*N34</f>
        <v>0.84400000000000008</v>
      </c>
      <c r="R34" s="37"/>
      <c r="S34" s="58"/>
    </row>
    <row r="35" spans="1:19" x14ac:dyDescent="0.25">
      <c r="A35" s="1"/>
      <c r="B35" s="47">
        <f t="shared" si="0"/>
        <v>26</v>
      </c>
      <c r="C35" s="54" t="s">
        <v>18</v>
      </c>
      <c r="D35" s="51" t="s">
        <v>46</v>
      </c>
      <c r="E35" s="51" t="s">
        <v>85</v>
      </c>
      <c r="F35" s="51" t="s">
        <v>114</v>
      </c>
      <c r="G35" s="51" t="s">
        <v>137</v>
      </c>
      <c r="H35" s="51" t="s">
        <v>152</v>
      </c>
      <c r="I35" s="51" t="s">
        <v>232</v>
      </c>
      <c r="J35" s="51" t="s">
        <v>189</v>
      </c>
      <c r="K35" s="51" t="s">
        <v>215</v>
      </c>
      <c r="L35" s="51">
        <v>3</v>
      </c>
      <c r="M35" s="51">
        <f t="shared" ref="M35" si="23">L35*5</f>
        <v>15</v>
      </c>
      <c r="N35" s="51">
        <v>20</v>
      </c>
      <c r="O35" s="63" t="s">
        <v>246</v>
      </c>
      <c r="P35" s="52">
        <v>2.1600000000000001E-2</v>
      </c>
      <c r="Q35" s="52">
        <f t="shared" ref="Q35" si="24">P35*N35</f>
        <v>0.43200000000000005</v>
      </c>
      <c r="R35" s="51"/>
      <c r="S35" s="58"/>
    </row>
    <row r="36" spans="1:19" x14ac:dyDescent="0.25">
      <c r="A36" s="1"/>
      <c r="B36" s="46">
        <f>ROW(B36) - ROW($B$9)</f>
        <v>27</v>
      </c>
      <c r="C36" s="54" t="s">
        <v>18</v>
      </c>
      <c r="D36" s="37" t="s">
        <v>47</v>
      </c>
      <c r="E36" s="37" t="s">
        <v>86</v>
      </c>
      <c r="F36" s="37" t="s">
        <v>114</v>
      </c>
      <c r="G36" s="37" t="s">
        <v>138</v>
      </c>
      <c r="H36" s="37" t="s">
        <v>152</v>
      </c>
      <c r="I36" s="51" t="s">
        <v>232</v>
      </c>
      <c r="J36" s="37" t="s">
        <v>190</v>
      </c>
      <c r="K36" s="37" t="s">
        <v>216</v>
      </c>
      <c r="L36" s="37">
        <v>1</v>
      </c>
      <c r="M36" s="37">
        <f>L36*5</f>
        <v>5</v>
      </c>
      <c r="N36" s="37">
        <v>100</v>
      </c>
      <c r="O36" s="63" t="s">
        <v>246</v>
      </c>
      <c r="P36" s="38">
        <v>1.4E-3</v>
      </c>
      <c r="Q36" s="38">
        <f>P36*N36</f>
        <v>0.13999999999999999</v>
      </c>
      <c r="R36" s="37"/>
      <c r="S36" s="58"/>
    </row>
    <row r="37" spans="1:19" x14ac:dyDescent="0.25">
      <c r="A37" s="1"/>
      <c r="B37" s="47">
        <f t="shared" si="0"/>
        <v>28</v>
      </c>
      <c r="C37" s="54" t="s">
        <v>18</v>
      </c>
      <c r="D37" s="51" t="s">
        <v>48</v>
      </c>
      <c r="E37" s="51" t="s">
        <v>87</v>
      </c>
      <c r="F37" s="51" t="s">
        <v>114</v>
      </c>
      <c r="G37" s="51" t="s">
        <v>139</v>
      </c>
      <c r="H37" s="51" t="s">
        <v>152</v>
      </c>
      <c r="I37" s="37" t="s">
        <v>232</v>
      </c>
      <c r="J37" s="51" t="s">
        <v>191</v>
      </c>
      <c r="K37" s="51" t="s">
        <v>217</v>
      </c>
      <c r="L37" s="51">
        <v>3</v>
      </c>
      <c r="M37" s="51">
        <f t="shared" ref="M37" si="25">L37*5</f>
        <v>15</v>
      </c>
      <c r="N37" s="51">
        <v>100</v>
      </c>
      <c r="O37" s="63" t="s">
        <v>246</v>
      </c>
      <c r="P37" s="52">
        <v>1E-3</v>
      </c>
      <c r="Q37" s="52">
        <f t="shared" ref="Q37" si="26">P37*N37</f>
        <v>0.1</v>
      </c>
      <c r="R37" s="51"/>
      <c r="S37" s="58"/>
    </row>
    <row r="38" spans="1:19" x14ac:dyDescent="0.25">
      <c r="A38" s="1"/>
      <c r="B38" s="46">
        <f>ROW(B38) - ROW($B$9)</f>
        <v>29</v>
      </c>
      <c r="C38" s="53" t="s">
        <v>18</v>
      </c>
      <c r="D38" s="37" t="s">
        <v>49</v>
      </c>
      <c r="E38" s="37" t="s">
        <v>88</v>
      </c>
      <c r="F38" s="37" t="s">
        <v>114</v>
      </c>
      <c r="G38" s="37" t="s">
        <v>140</v>
      </c>
      <c r="H38" s="37" t="s">
        <v>152</v>
      </c>
      <c r="I38" s="51" t="s">
        <v>232</v>
      </c>
      <c r="J38" s="37" t="s">
        <v>192</v>
      </c>
      <c r="K38" s="37" t="s">
        <v>218</v>
      </c>
      <c r="L38" s="37">
        <v>2</v>
      </c>
      <c r="M38" s="37">
        <f>L38*5</f>
        <v>10</v>
      </c>
      <c r="N38" s="37">
        <v>100</v>
      </c>
      <c r="O38" s="63" t="s">
        <v>246</v>
      </c>
      <c r="P38" s="38">
        <v>1.1000000000000001E-3</v>
      </c>
      <c r="Q38" s="38">
        <f>P38*N38</f>
        <v>0.11</v>
      </c>
      <c r="R38" s="37"/>
      <c r="S38" s="58"/>
    </row>
    <row r="39" spans="1:19" x14ac:dyDescent="0.25">
      <c r="A39" s="1"/>
      <c r="B39" s="47">
        <f t="shared" si="0"/>
        <v>30</v>
      </c>
      <c r="C39" s="54" t="s">
        <v>18</v>
      </c>
      <c r="D39" s="51" t="s">
        <v>50</v>
      </c>
      <c r="E39" s="51" t="s">
        <v>89</v>
      </c>
      <c r="F39" s="51" t="s">
        <v>114</v>
      </c>
      <c r="G39" s="51" t="s">
        <v>141</v>
      </c>
      <c r="H39" s="51" t="s">
        <v>162</v>
      </c>
      <c r="I39" s="37" t="s">
        <v>232</v>
      </c>
      <c r="J39" s="51" t="s">
        <v>193</v>
      </c>
      <c r="K39" s="51" t="s">
        <v>219</v>
      </c>
      <c r="L39" s="51">
        <v>1</v>
      </c>
      <c r="M39" s="51">
        <f t="shared" ref="M39" si="27">L39*5</f>
        <v>5</v>
      </c>
      <c r="N39" s="51">
        <v>100</v>
      </c>
      <c r="O39" s="63" t="s">
        <v>246</v>
      </c>
      <c r="P39" s="52">
        <v>1.1999999999999999E-3</v>
      </c>
      <c r="Q39" s="52">
        <f t="shared" ref="Q39" si="28">P39*N39</f>
        <v>0.12</v>
      </c>
      <c r="R39" s="51"/>
      <c r="S39" s="58"/>
    </row>
    <row r="40" spans="1:19" x14ac:dyDescent="0.25">
      <c r="A40" s="1"/>
      <c r="B40" s="46">
        <f>ROW(B40) - ROW($B$9)</f>
        <v>31</v>
      </c>
      <c r="C40" s="53" t="s">
        <v>18</v>
      </c>
      <c r="D40" s="37" t="s">
        <v>51</v>
      </c>
      <c r="E40" s="37" t="s">
        <v>90</v>
      </c>
      <c r="F40" s="37" t="s">
        <v>114</v>
      </c>
      <c r="G40" s="37" t="s">
        <v>142</v>
      </c>
      <c r="H40" s="37" t="s">
        <v>152</v>
      </c>
      <c r="I40" s="51" t="s">
        <v>232</v>
      </c>
      <c r="J40" s="37" t="s">
        <v>194</v>
      </c>
      <c r="K40" s="37" t="s">
        <v>218</v>
      </c>
      <c r="L40" s="37">
        <v>2</v>
      </c>
      <c r="M40" s="37">
        <f>L40*5</f>
        <v>10</v>
      </c>
      <c r="N40" s="37">
        <v>20</v>
      </c>
      <c r="O40" s="63" t="s">
        <v>246</v>
      </c>
      <c r="P40" s="38">
        <v>2.29E-2</v>
      </c>
      <c r="Q40" s="38">
        <f>P40*N40</f>
        <v>0.45800000000000002</v>
      </c>
      <c r="R40" s="37"/>
      <c r="S40" s="58"/>
    </row>
    <row r="41" spans="1:19" x14ac:dyDescent="0.25">
      <c r="A41" s="1"/>
      <c r="B41" s="47">
        <f t="shared" si="0"/>
        <v>32</v>
      </c>
      <c r="C41" s="53" t="s">
        <v>18</v>
      </c>
      <c r="D41" s="51" t="s">
        <v>52</v>
      </c>
      <c r="E41" s="51" t="s">
        <v>91</v>
      </c>
      <c r="F41" s="51" t="s">
        <v>114</v>
      </c>
      <c r="G41" s="51" t="s">
        <v>143</v>
      </c>
      <c r="H41" s="51" t="s">
        <v>152</v>
      </c>
      <c r="I41" s="37" t="s">
        <v>232</v>
      </c>
      <c r="J41" s="51" t="s">
        <v>195</v>
      </c>
      <c r="K41" s="51" t="s">
        <v>220</v>
      </c>
      <c r="L41" s="51">
        <v>1</v>
      </c>
      <c r="M41" s="51">
        <f t="shared" ref="M41" si="29">L41*5</f>
        <v>5</v>
      </c>
      <c r="N41" s="51">
        <v>20</v>
      </c>
      <c r="O41" s="63" t="s">
        <v>246</v>
      </c>
      <c r="P41" s="52">
        <v>2.5700000000000001E-2</v>
      </c>
      <c r="Q41" s="52">
        <f t="shared" ref="Q41" si="30">P41*N41</f>
        <v>0.51400000000000001</v>
      </c>
      <c r="R41" s="51"/>
      <c r="S41" s="58"/>
    </row>
    <row r="42" spans="1:19" x14ac:dyDescent="0.25">
      <c r="A42" s="1"/>
      <c r="B42" s="46">
        <f>ROW(B42) - ROW($B$9)</f>
        <v>33</v>
      </c>
      <c r="C42" s="53" t="s">
        <v>18</v>
      </c>
      <c r="D42" s="37" t="s">
        <v>53</v>
      </c>
      <c r="E42" s="37" t="s">
        <v>92</v>
      </c>
      <c r="F42" s="37" t="s">
        <v>114</v>
      </c>
      <c r="G42" s="37" t="s">
        <v>144</v>
      </c>
      <c r="H42" s="37" t="s">
        <v>152</v>
      </c>
      <c r="I42" s="51" t="s">
        <v>232</v>
      </c>
      <c r="J42" s="37" t="s">
        <v>196</v>
      </c>
      <c r="K42" s="37" t="s">
        <v>221</v>
      </c>
      <c r="L42" s="37">
        <v>1</v>
      </c>
      <c r="M42" s="37">
        <f>L42*5</f>
        <v>5</v>
      </c>
      <c r="N42" s="37">
        <v>10</v>
      </c>
      <c r="O42" s="63" t="s">
        <v>246</v>
      </c>
      <c r="P42" s="38">
        <v>0.2535</v>
      </c>
      <c r="Q42" s="38">
        <f>P42*N42</f>
        <v>2.5350000000000001</v>
      </c>
      <c r="R42" s="37"/>
      <c r="S42" s="58"/>
    </row>
    <row r="43" spans="1:19" ht="24" x14ac:dyDescent="0.25">
      <c r="A43" s="1"/>
      <c r="B43" s="47">
        <f t="shared" si="0"/>
        <v>34</v>
      </c>
      <c r="C43" s="54" t="s">
        <v>18</v>
      </c>
      <c r="D43" s="51" t="s">
        <v>54</v>
      </c>
      <c r="E43" s="51" t="s">
        <v>93</v>
      </c>
      <c r="F43" s="51" t="s">
        <v>114</v>
      </c>
      <c r="G43" s="51" t="s">
        <v>145</v>
      </c>
      <c r="H43" s="51" t="s">
        <v>152</v>
      </c>
      <c r="I43" s="51" t="s">
        <v>232</v>
      </c>
      <c r="J43" s="51" t="s">
        <v>197</v>
      </c>
      <c r="K43" s="51" t="s">
        <v>217</v>
      </c>
      <c r="L43" s="51">
        <v>1</v>
      </c>
      <c r="M43" s="51">
        <f t="shared" ref="M43" si="31">L43*5</f>
        <v>5</v>
      </c>
      <c r="N43" s="51">
        <v>100</v>
      </c>
      <c r="O43" s="63" t="s">
        <v>246</v>
      </c>
      <c r="P43" s="52">
        <v>1.1000000000000001E-3</v>
      </c>
      <c r="Q43" s="52">
        <f t="shared" ref="Q43" si="32">P43*N43</f>
        <v>0.11</v>
      </c>
      <c r="R43" s="51"/>
      <c r="S43" s="58"/>
    </row>
    <row r="44" spans="1:19" ht="24" x14ac:dyDescent="0.25">
      <c r="A44" s="1"/>
      <c r="B44" s="46">
        <f>ROW(B44) - ROW($B$9)</f>
        <v>35</v>
      </c>
      <c r="C44" s="53" t="s">
        <v>224</v>
      </c>
      <c r="D44" s="37" t="s">
        <v>55</v>
      </c>
      <c r="E44" s="37" t="s">
        <v>94</v>
      </c>
      <c r="F44" s="37" t="s">
        <v>234</v>
      </c>
      <c r="G44" s="37" t="s">
        <v>146</v>
      </c>
      <c r="H44" s="37" t="s">
        <v>163</v>
      </c>
      <c r="I44" s="37" t="s">
        <v>232</v>
      </c>
      <c r="J44" s="37" t="s">
        <v>198</v>
      </c>
      <c r="K44" s="37" t="s">
        <v>232</v>
      </c>
      <c r="L44" s="37">
        <v>1</v>
      </c>
      <c r="M44" s="37">
        <f>L44*5</f>
        <v>5</v>
      </c>
      <c r="N44" s="37">
        <v>6</v>
      </c>
      <c r="O44" s="63" t="s">
        <v>246</v>
      </c>
      <c r="P44" s="38">
        <v>0.65869999999999995</v>
      </c>
      <c r="Q44" s="38">
        <f>P44*N44</f>
        <v>3.9521999999999995</v>
      </c>
      <c r="R44" s="37"/>
      <c r="S44" s="58"/>
    </row>
    <row r="45" spans="1:19" ht="24" x14ac:dyDescent="0.25">
      <c r="A45" s="1"/>
      <c r="B45" s="47">
        <f t="shared" si="0"/>
        <v>36</v>
      </c>
      <c r="C45" s="54" t="s">
        <v>19</v>
      </c>
      <c r="D45" s="51" t="s">
        <v>56</v>
      </c>
      <c r="E45" s="51" t="s">
        <v>95</v>
      </c>
      <c r="F45" s="51" t="s">
        <v>115</v>
      </c>
      <c r="G45" s="51" t="s">
        <v>147</v>
      </c>
      <c r="H45" s="51" t="s">
        <v>164</v>
      </c>
      <c r="I45" s="51" t="s">
        <v>232</v>
      </c>
      <c r="J45" s="51"/>
      <c r="K45" s="51" t="s">
        <v>232</v>
      </c>
      <c r="L45" s="51">
        <v>1</v>
      </c>
      <c r="M45" s="51">
        <f t="shared" ref="M45" si="33">L45*5</f>
        <v>5</v>
      </c>
      <c r="N45" s="51"/>
      <c r="O45" s="51"/>
      <c r="P45" s="52"/>
      <c r="Q45" s="52">
        <f t="shared" ref="Q45" si="34">P45*N45</f>
        <v>0</v>
      </c>
      <c r="R45" s="51"/>
      <c r="S45" s="58"/>
    </row>
    <row r="46" spans="1:19" ht="36" x14ac:dyDescent="0.25">
      <c r="A46" s="1"/>
      <c r="B46" s="46">
        <f>ROW(B46) - ROW($B$9)</f>
        <v>37</v>
      </c>
      <c r="C46" s="53" t="s">
        <v>13</v>
      </c>
      <c r="D46" s="37" t="s">
        <v>57</v>
      </c>
      <c r="E46" s="37" t="s">
        <v>96</v>
      </c>
      <c r="F46" s="37" t="s">
        <v>234</v>
      </c>
      <c r="G46" s="37" t="s">
        <v>116</v>
      </c>
      <c r="H46" s="37" t="s">
        <v>165</v>
      </c>
      <c r="I46" s="37" t="s">
        <v>232</v>
      </c>
      <c r="J46" s="37" t="s">
        <v>199</v>
      </c>
      <c r="K46" s="37" t="s">
        <v>232</v>
      </c>
      <c r="L46" s="37">
        <v>1</v>
      </c>
      <c r="M46" s="37">
        <f>L46*5</f>
        <v>5</v>
      </c>
      <c r="N46" s="37">
        <v>6</v>
      </c>
      <c r="O46" s="63" t="s">
        <v>246</v>
      </c>
      <c r="P46" s="38">
        <v>0.436</v>
      </c>
      <c r="Q46" s="38">
        <f>P46*N46</f>
        <v>2.6160000000000001</v>
      </c>
      <c r="R46" s="37"/>
      <c r="S46" s="58"/>
    </row>
    <row r="47" spans="1:19" ht="36" x14ac:dyDescent="0.25">
      <c r="A47" s="1"/>
      <c r="B47" s="47">
        <f t="shared" si="0"/>
        <v>38</v>
      </c>
      <c r="C47" s="54" t="s">
        <v>19</v>
      </c>
      <c r="D47" s="51" t="s">
        <v>58</v>
      </c>
      <c r="E47" s="51" t="s">
        <v>97</v>
      </c>
      <c r="F47" s="51" t="s">
        <v>117</v>
      </c>
      <c r="G47" s="51" t="s">
        <v>148</v>
      </c>
      <c r="H47" s="51" t="s">
        <v>166</v>
      </c>
      <c r="I47" s="51" t="s">
        <v>232</v>
      </c>
      <c r="J47" s="51" t="s">
        <v>200</v>
      </c>
      <c r="K47" s="51" t="s">
        <v>232</v>
      </c>
      <c r="L47" s="51">
        <v>2</v>
      </c>
      <c r="M47" s="51">
        <f t="shared" ref="M47" si="35">L47*5</f>
        <v>10</v>
      </c>
      <c r="N47" s="51">
        <v>20</v>
      </c>
      <c r="O47" s="63" t="s">
        <v>246</v>
      </c>
      <c r="P47" s="52">
        <v>5.6899999999999999E-2</v>
      </c>
      <c r="Q47" s="52">
        <f t="shared" ref="Q47" si="36">P47*N47</f>
        <v>1.1379999999999999</v>
      </c>
      <c r="R47" s="51"/>
      <c r="S47" s="58"/>
    </row>
    <row r="48" spans="1:19" ht="24" x14ac:dyDescent="0.25">
      <c r="A48" s="1"/>
      <c r="B48" s="46">
        <f>ROW(B48) - ROW($B$9)</f>
        <v>39</v>
      </c>
      <c r="C48" s="53" t="s">
        <v>19</v>
      </c>
      <c r="D48" s="37" t="s">
        <v>59</v>
      </c>
      <c r="E48" s="37" t="s">
        <v>98</v>
      </c>
      <c r="F48" s="37" t="s">
        <v>118</v>
      </c>
      <c r="G48" s="37" t="s">
        <v>149</v>
      </c>
      <c r="H48" s="37" t="s">
        <v>167</v>
      </c>
      <c r="I48" s="37" t="s">
        <v>232</v>
      </c>
      <c r="J48" s="37" t="s">
        <v>201</v>
      </c>
      <c r="K48" s="37" t="s">
        <v>232</v>
      </c>
      <c r="L48" s="37">
        <v>1</v>
      </c>
      <c r="M48" s="37">
        <f>L48*5</f>
        <v>5</v>
      </c>
      <c r="N48" s="37">
        <v>6</v>
      </c>
      <c r="O48" s="63" t="s">
        <v>246</v>
      </c>
      <c r="P48" s="38">
        <v>1.2998000000000001</v>
      </c>
      <c r="Q48" s="38">
        <f>P48*N48</f>
        <v>7.7988</v>
      </c>
      <c r="R48" s="37"/>
      <c r="S48" s="58"/>
    </row>
    <row r="49" spans="1:19" ht="24" x14ac:dyDescent="0.25">
      <c r="A49" s="1"/>
      <c r="B49" s="47">
        <f t="shared" si="0"/>
        <v>40</v>
      </c>
      <c r="C49" s="54" t="s">
        <v>19</v>
      </c>
      <c r="D49" s="51" t="s">
        <v>60</v>
      </c>
      <c r="E49" s="51" t="s">
        <v>99</v>
      </c>
      <c r="F49" s="51" t="s">
        <v>119</v>
      </c>
      <c r="G49" s="51" t="s">
        <v>150</v>
      </c>
      <c r="H49" s="51" t="s">
        <v>168</v>
      </c>
      <c r="I49" s="51" t="s">
        <v>232</v>
      </c>
      <c r="J49" s="51" t="s">
        <v>237</v>
      </c>
      <c r="K49" s="51" t="s">
        <v>232</v>
      </c>
      <c r="L49" s="51">
        <v>1</v>
      </c>
      <c r="M49" s="51">
        <f t="shared" ref="M49:M55" si="37">L49*5</f>
        <v>5</v>
      </c>
      <c r="N49" s="51">
        <v>6</v>
      </c>
      <c r="O49" s="63" t="s">
        <v>246</v>
      </c>
      <c r="P49" s="52">
        <v>0.40550000000000003</v>
      </c>
      <c r="Q49" s="52">
        <f t="shared" ref="Q49:Q51" si="38">P49*N49</f>
        <v>2.4330000000000003</v>
      </c>
      <c r="R49" s="71" t="s">
        <v>249</v>
      </c>
      <c r="S49" s="58"/>
    </row>
    <row r="50" spans="1:19" s="61" customFormat="1" ht="48" x14ac:dyDescent="0.25">
      <c r="A50" s="59"/>
      <c r="B50" s="47">
        <f t="shared" si="0"/>
        <v>41</v>
      </c>
      <c r="C50" s="82" t="s">
        <v>250</v>
      </c>
      <c r="D50" s="83" t="s">
        <v>232</v>
      </c>
      <c r="E50" s="83" t="s">
        <v>254</v>
      </c>
      <c r="F50" s="83" t="s">
        <v>232</v>
      </c>
      <c r="G50" s="83" t="s">
        <v>251</v>
      </c>
      <c r="H50" s="83" t="s">
        <v>232</v>
      </c>
      <c r="I50" s="83" t="s">
        <v>232</v>
      </c>
      <c r="J50" s="83" t="s">
        <v>232</v>
      </c>
      <c r="K50" s="83" t="s">
        <v>232</v>
      </c>
      <c r="L50" s="83">
        <v>1</v>
      </c>
      <c r="M50" s="83">
        <f t="shared" si="37"/>
        <v>5</v>
      </c>
      <c r="N50" s="83">
        <v>5</v>
      </c>
      <c r="O50" s="85" t="s">
        <v>253</v>
      </c>
      <c r="P50" s="86">
        <v>7.89</v>
      </c>
      <c r="Q50" s="86">
        <f t="shared" si="38"/>
        <v>39.449999999999996</v>
      </c>
      <c r="R50" s="87"/>
      <c r="S50" s="88"/>
    </row>
    <row r="51" spans="1:19" s="61" customFormat="1" x14ac:dyDescent="0.25">
      <c r="A51" s="59"/>
      <c r="B51" s="47">
        <f t="shared" si="0"/>
        <v>42</v>
      </c>
      <c r="C51" s="82" t="s">
        <v>250</v>
      </c>
      <c r="D51" s="83" t="s">
        <v>258</v>
      </c>
      <c r="E51" s="83" t="s">
        <v>257</v>
      </c>
      <c r="F51" s="83" t="s">
        <v>232</v>
      </c>
      <c r="G51" s="83" t="s">
        <v>259</v>
      </c>
      <c r="H51" s="83" t="s">
        <v>232</v>
      </c>
      <c r="I51" s="83" t="s">
        <v>232</v>
      </c>
      <c r="J51" s="83" t="s">
        <v>266</v>
      </c>
      <c r="K51" s="83" t="s">
        <v>232</v>
      </c>
      <c r="L51" s="83">
        <v>1</v>
      </c>
      <c r="M51" s="83">
        <f t="shared" si="37"/>
        <v>5</v>
      </c>
      <c r="N51" s="83">
        <v>6</v>
      </c>
      <c r="O51" s="85" t="s">
        <v>246</v>
      </c>
      <c r="P51" s="86">
        <v>0.3962</v>
      </c>
      <c r="Q51" s="86">
        <f t="shared" si="38"/>
        <v>2.3772000000000002</v>
      </c>
      <c r="R51" s="87"/>
      <c r="S51" s="88"/>
    </row>
    <row r="52" spans="1:19" s="61" customFormat="1" ht="24" x14ac:dyDescent="0.25">
      <c r="A52" s="59"/>
      <c r="B52" s="47">
        <f t="shared" si="0"/>
        <v>43</v>
      </c>
      <c r="C52" s="82" t="s">
        <v>250</v>
      </c>
      <c r="D52" s="83" t="s">
        <v>252</v>
      </c>
      <c r="E52" s="83" t="s">
        <v>260</v>
      </c>
      <c r="F52" s="83"/>
      <c r="G52" s="83"/>
      <c r="H52" s="83"/>
      <c r="I52" s="83"/>
      <c r="J52" s="83"/>
      <c r="K52" s="83"/>
      <c r="L52" s="83"/>
      <c r="M52" s="83">
        <f t="shared" si="37"/>
        <v>0</v>
      </c>
      <c r="N52" s="83"/>
      <c r="O52" s="85"/>
      <c r="P52" s="86"/>
      <c r="Q52" s="86"/>
      <c r="R52" s="87" t="s">
        <v>262</v>
      </c>
      <c r="S52" s="88"/>
    </row>
    <row r="53" spans="1:19" s="61" customFormat="1" ht="24" x14ac:dyDescent="0.25">
      <c r="A53" s="59"/>
      <c r="B53" s="47">
        <f t="shared" si="0"/>
        <v>44</v>
      </c>
      <c r="C53" s="82" t="s">
        <v>250</v>
      </c>
      <c r="D53" s="83" t="s">
        <v>252</v>
      </c>
      <c r="E53" s="83" t="s">
        <v>261</v>
      </c>
      <c r="F53" s="83"/>
      <c r="G53" s="83"/>
      <c r="H53" s="83"/>
      <c r="I53" s="83"/>
      <c r="J53" s="83"/>
      <c r="K53" s="83"/>
      <c r="L53" s="83"/>
      <c r="M53" s="83">
        <f t="shared" si="37"/>
        <v>0</v>
      </c>
      <c r="N53" s="83"/>
      <c r="O53" s="85"/>
      <c r="P53" s="86"/>
      <c r="Q53" s="86"/>
      <c r="R53" s="87" t="s">
        <v>262</v>
      </c>
      <c r="S53" s="88"/>
    </row>
    <row r="54" spans="1:19" s="61" customFormat="1" ht="36" x14ac:dyDescent="0.25">
      <c r="A54" s="59"/>
      <c r="B54" s="47">
        <f t="shared" si="0"/>
        <v>45</v>
      </c>
      <c r="C54" s="82" t="s">
        <v>250</v>
      </c>
      <c r="D54" s="83" t="s">
        <v>255</v>
      </c>
      <c r="E54" s="83" t="s">
        <v>256</v>
      </c>
      <c r="F54" s="83" t="s">
        <v>232</v>
      </c>
      <c r="G54" s="83" t="s">
        <v>232</v>
      </c>
      <c r="H54" s="83" t="s">
        <v>232</v>
      </c>
      <c r="I54" s="83" t="s">
        <v>232</v>
      </c>
      <c r="J54" s="83" t="s">
        <v>232</v>
      </c>
      <c r="K54" s="83" t="s">
        <v>232</v>
      </c>
      <c r="L54" s="83">
        <v>1</v>
      </c>
      <c r="M54" s="83">
        <f t="shared" si="37"/>
        <v>5</v>
      </c>
      <c r="N54" s="83">
        <v>5</v>
      </c>
      <c r="O54" s="85" t="s">
        <v>253</v>
      </c>
      <c r="P54" s="86">
        <v>35.64</v>
      </c>
      <c r="Q54" s="86">
        <f t="shared" ref="Q54:Q55" si="39">P54*N54</f>
        <v>178.2</v>
      </c>
      <c r="R54" s="87"/>
      <c r="S54" s="88"/>
    </row>
    <row r="55" spans="1:19" s="61" customFormat="1" ht="15.75" thickBot="1" x14ac:dyDescent="0.3">
      <c r="A55" s="59"/>
      <c r="B55" s="47">
        <f t="shared" si="0"/>
        <v>46</v>
      </c>
      <c r="C55" s="82" t="s">
        <v>250</v>
      </c>
      <c r="D55" s="83" t="s">
        <v>263</v>
      </c>
      <c r="E55" s="83" t="s">
        <v>264</v>
      </c>
      <c r="F55" s="83" t="s">
        <v>232</v>
      </c>
      <c r="G55" s="83" t="s">
        <v>265</v>
      </c>
      <c r="H55" s="83" t="s">
        <v>232</v>
      </c>
      <c r="I55" s="83" t="s">
        <v>232</v>
      </c>
      <c r="J55" s="83" t="s">
        <v>267</v>
      </c>
      <c r="K55" s="83" t="s">
        <v>232</v>
      </c>
      <c r="L55" s="83">
        <v>2</v>
      </c>
      <c r="M55" s="83">
        <f t="shared" si="37"/>
        <v>10</v>
      </c>
      <c r="N55" s="83">
        <v>15</v>
      </c>
      <c r="O55" s="85" t="s">
        <v>246</v>
      </c>
      <c r="P55" s="86">
        <v>8.4199999999999997E-2</v>
      </c>
      <c r="Q55" s="86">
        <f t="shared" si="39"/>
        <v>1.2629999999999999</v>
      </c>
      <c r="R55" s="87"/>
      <c r="S55" s="88"/>
    </row>
    <row r="56" spans="1:19" ht="19.5" thickBot="1" x14ac:dyDescent="0.3">
      <c r="A56" s="1"/>
      <c r="B56" s="40"/>
      <c r="C56" s="41"/>
      <c r="D56" s="42"/>
      <c r="E56" s="43"/>
      <c r="F56" s="44"/>
      <c r="G56" s="45"/>
      <c r="H56" s="44"/>
      <c r="I56" s="45"/>
      <c r="J56" s="44"/>
      <c r="K56" s="45"/>
      <c r="L56" s="45"/>
      <c r="M56" s="45"/>
      <c r="N56" s="76" t="s">
        <v>5</v>
      </c>
      <c r="O56" s="77"/>
      <c r="P56" s="77"/>
      <c r="Q56" s="48">
        <f>SUM(Q10:Q55)</f>
        <v>261.67369999999994</v>
      </c>
      <c r="R56" s="78"/>
      <c r="S56" s="79"/>
    </row>
    <row r="57" spans="1:19" ht="19.5" thickBot="1" x14ac:dyDescent="0.3">
      <c r="A57" s="1"/>
      <c r="B57" s="25"/>
      <c r="C57" s="36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76" t="s">
        <v>6</v>
      </c>
      <c r="O57" s="77"/>
      <c r="P57" s="77"/>
      <c r="Q57" s="49">
        <f>Q56/5</f>
        <v>52.334739999999989</v>
      </c>
      <c r="R57" s="80"/>
      <c r="S57" s="81"/>
    </row>
  </sheetData>
  <mergeCells count="5">
    <mergeCell ref="K1:S1"/>
    <mergeCell ref="S3:S8"/>
    <mergeCell ref="R56:S57"/>
    <mergeCell ref="N56:P56"/>
    <mergeCell ref="N57:P57"/>
  </mergeCells>
  <hyperlinks>
    <hyperlink ref="O10" r:id="rId1"/>
    <hyperlink ref="O12" r:id="rId2"/>
    <hyperlink ref="O13" r:id="rId3"/>
    <hyperlink ref="O14" r:id="rId4"/>
    <hyperlink ref="O15" r:id="rId5"/>
    <hyperlink ref="O16" r:id="rId6"/>
    <hyperlink ref="O17" r:id="rId7"/>
    <hyperlink ref="O18" r:id="rId8"/>
    <hyperlink ref="O19" r:id="rId9"/>
    <hyperlink ref="O20" r:id="rId10"/>
    <hyperlink ref="O21" r:id="rId11"/>
    <hyperlink ref="O22" r:id="rId12"/>
    <hyperlink ref="O23" r:id="rId13"/>
    <hyperlink ref="O25" r:id="rId14"/>
    <hyperlink ref="O29" r:id="rId15"/>
    <hyperlink ref="O30" r:id="rId16"/>
    <hyperlink ref="O31" r:id="rId17"/>
    <hyperlink ref="O32" r:id="rId18"/>
    <hyperlink ref="O34" r:id="rId19"/>
    <hyperlink ref="O35" r:id="rId20"/>
    <hyperlink ref="O36" r:id="rId21"/>
    <hyperlink ref="O37" r:id="rId22"/>
    <hyperlink ref="O38" r:id="rId23"/>
    <hyperlink ref="O39" r:id="rId24"/>
    <hyperlink ref="O40" r:id="rId25"/>
    <hyperlink ref="O41" r:id="rId26"/>
    <hyperlink ref="O42" r:id="rId27"/>
    <hyperlink ref="O43" r:id="rId28"/>
    <hyperlink ref="O44" r:id="rId29"/>
    <hyperlink ref="O46" r:id="rId30"/>
    <hyperlink ref="O47" r:id="rId31"/>
    <hyperlink ref="O48" r:id="rId32"/>
    <hyperlink ref="O11" r:id="rId33"/>
    <hyperlink ref="O49" r:id="rId34"/>
    <hyperlink ref="O50" r:id="rId35"/>
    <hyperlink ref="O54" r:id="rId36"/>
    <hyperlink ref="O55" r:id="rId37"/>
    <hyperlink ref="O51" r:id="rId38"/>
  </hyperlinks>
  <pageMargins left="0.7" right="0.7" top="0.75" bottom="0.75" header="0.3" footer="0.3"/>
  <pageSetup paperSize="9" orientation="portrait" r:id="rId39"/>
  <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abSelected="1" topLeftCell="A43" workbookViewId="0">
      <selection activeCell="F63" sqref="F63"/>
    </sheetView>
  </sheetViews>
  <sheetFormatPr defaultRowHeight="15" x14ac:dyDescent="0.25"/>
  <cols>
    <col min="2" max="2" width="3" bestFit="1" customWidth="1"/>
    <col min="3" max="3" width="15.5703125" customWidth="1"/>
    <col min="4" max="4" width="31.140625" bestFit="1" customWidth="1"/>
    <col min="5" max="5" width="25.7109375" customWidth="1"/>
    <col min="6" max="6" width="12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0.28515625" bestFit="1" customWidth="1"/>
    <col min="16" max="16" width="19.7109375" bestFit="1" customWidth="1"/>
    <col min="17" max="17" width="20.28515625" bestFit="1" customWidth="1"/>
    <col min="18" max="18" width="12.42578125" customWidth="1"/>
    <col min="19" max="19" width="26.425781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2"/>
      <c r="L1" s="72"/>
      <c r="M1" s="72"/>
      <c r="N1" s="72"/>
      <c r="O1" s="72"/>
      <c r="P1" s="72"/>
      <c r="Q1" s="72"/>
      <c r="R1" s="72"/>
      <c r="S1" s="7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4"/>
    </row>
    <row r="4" spans="1:19" x14ac:dyDescent="0.25">
      <c r="A4" s="1"/>
      <c r="B4" s="22"/>
      <c r="C4" s="32"/>
      <c r="D4" s="13" t="s">
        <v>2</v>
      </c>
      <c r="E4" s="13"/>
      <c r="F4" s="56" t="s">
        <v>236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5"/>
    </row>
    <row r="5" spans="1:19" x14ac:dyDescent="0.25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5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61</v>
      </c>
      <c r="F9" s="30" t="s">
        <v>100</v>
      </c>
      <c r="G9" s="30" t="s">
        <v>120</v>
      </c>
      <c r="H9" s="30" t="s">
        <v>151</v>
      </c>
      <c r="I9" s="30" t="s">
        <v>223</v>
      </c>
      <c r="J9" s="30" t="s">
        <v>169</v>
      </c>
      <c r="K9" s="30" t="s">
        <v>233</v>
      </c>
      <c r="L9" s="30" t="s">
        <v>222</v>
      </c>
      <c r="M9" s="30" t="s">
        <v>242</v>
      </c>
      <c r="N9" s="30" t="s">
        <v>243</v>
      </c>
      <c r="O9" s="30" t="s">
        <v>227</v>
      </c>
      <c r="P9" s="30" t="s">
        <v>244</v>
      </c>
      <c r="Q9" s="30" t="s">
        <v>245</v>
      </c>
      <c r="R9" s="30" t="s">
        <v>230</v>
      </c>
      <c r="S9" s="30" t="s">
        <v>231</v>
      </c>
    </row>
    <row r="10" spans="1:19" s="61" customFormat="1" ht="24" x14ac:dyDescent="0.25">
      <c r="A10" s="59"/>
      <c r="B10" s="46">
        <f>ROW(B10) - ROW($B$9)</f>
        <v>1</v>
      </c>
      <c r="C10" s="53" t="s">
        <v>9</v>
      </c>
      <c r="D10" s="37" t="s">
        <v>21</v>
      </c>
      <c r="E10" s="37" t="s">
        <v>62</v>
      </c>
      <c r="F10" s="37" t="s">
        <v>101</v>
      </c>
      <c r="G10" s="37" t="s">
        <v>121</v>
      </c>
      <c r="H10" s="37" t="s">
        <v>152</v>
      </c>
      <c r="I10" s="37" t="s">
        <v>232</v>
      </c>
      <c r="J10" s="37" t="s">
        <v>170</v>
      </c>
      <c r="K10" s="37" t="s">
        <v>202</v>
      </c>
      <c r="L10" s="37">
        <v>3</v>
      </c>
      <c r="M10" s="37">
        <f>L10*10</f>
        <v>30</v>
      </c>
      <c r="N10" s="37">
        <v>100</v>
      </c>
      <c r="O10" s="62" t="s">
        <v>246</v>
      </c>
      <c r="P10" s="38">
        <v>4.0000000000000001E-3</v>
      </c>
      <c r="Q10" s="38">
        <f>P10*N10</f>
        <v>0.4</v>
      </c>
      <c r="R10" s="37"/>
      <c r="S10" s="60"/>
    </row>
    <row r="11" spans="1:19" s="61" customFormat="1" ht="24" x14ac:dyDescent="0.25">
      <c r="A11" s="59"/>
      <c r="B11" s="47">
        <f t="shared" ref="B11:B55" si="0">ROW(B11) - ROW($B$9)</f>
        <v>2</v>
      </c>
      <c r="C11" s="54" t="s">
        <v>9</v>
      </c>
      <c r="D11" s="51" t="s">
        <v>22</v>
      </c>
      <c r="E11" s="51" t="s">
        <v>63</v>
      </c>
      <c r="F11" s="51" t="s">
        <v>101</v>
      </c>
      <c r="G11" s="65" t="s">
        <v>122</v>
      </c>
      <c r="H11" s="51" t="s">
        <v>152</v>
      </c>
      <c r="I11" s="51" t="s">
        <v>247</v>
      </c>
      <c r="J11" s="51" t="s">
        <v>248</v>
      </c>
      <c r="K11" s="51" t="s">
        <v>203</v>
      </c>
      <c r="L11" s="51">
        <v>11</v>
      </c>
      <c r="M11" s="37">
        <f t="shared" ref="M11:M55" si="1">L11*10</f>
        <v>110</v>
      </c>
      <c r="N11" s="51">
        <v>200</v>
      </c>
      <c r="O11" s="63" t="s">
        <v>246</v>
      </c>
      <c r="P11" s="52">
        <v>2.3999999999999998E-3</v>
      </c>
      <c r="Q11" s="52">
        <f t="shared" ref="Q11" si="2">P11*N11</f>
        <v>0.48</v>
      </c>
      <c r="R11" s="51"/>
      <c r="S11" s="51"/>
    </row>
    <row r="12" spans="1:19" s="61" customFormat="1" x14ac:dyDescent="0.25">
      <c r="A12" s="59"/>
      <c r="B12" s="46">
        <f>ROW(B12) - ROW($B$9)</f>
        <v>3</v>
      </c>
      <c r="C12" s="53" t="s">
        <v>9</v>
      </c>
      <c r="D12" s="37" t="s">
        <v>23</v>
      </c>
      <c r="E12" s="37" t="s">
        <v>64</v>
      </c>
      <c r="F12" s="37" t="s">
        <v>101</v>
      </c>
      <c r="G12" s="37" t="s">
        <v>123</v>
      </c>
      <c r="H12" s="37" t="s">
        <v>152</v>
      </c>
      <c r="I12" s="37" t="s">
        <v>232</v>
      </c>
      <c r="J12" s="37" t="s">
        <v>171</v>
      </c>
      <c r="K12" s="37" t="s">
        <v>204</v>
      </c>
      <c r="L12" s="37">
        <v>2</v>
      </c>
      <c r="M12" s="37">
        <f t="shared" si="1"/>
        <v>20</v>
      </c>
      <c r="N12" s="37">
        <v>25</v>
      </c>
      <c r="O12" s="62" t="s">
        <v>246</v>
      </c>
      <c r="P12" s="38">
        <v>0.14849999999999999</v>
      </c>
      <c r="Q12" s="38">
        <f>P12*N12</f>
        <v>3.7124999999999999</v>
      </c>
      <c r="R12" s="37"/>
      <c r="S12" s="58"/>
    </row>
    <row r="13" spans="1:19" s="61" customFormat="1" x14ac:dyDescent="0.25">
      <c r="A13" s="59"/>
      <c r="B13" s="47">
        <f t="shared" si="0"/>
        <v>4</v>
      </c>
      <c r="C13" s="54" t="s">
        <v>9</v>
      </c>
      <c r="D13" s="51" t="s">
        <v>24</v>
      </c>
      <c r="E13" s="51" t="s">
        <v>65</v>
      </c>
      <c r="F13" s="51" t="s">
        <v>102</v>
      </c>
      <c r="G13" s="51" t="s">
        <v>124</v>
      </c>
      <c r="H13" s="51" t="s">
        <v>152</v>
      </c>
      <c r="I13" s="51" t="s">
        <v>232</v>
      </c>
      <c r="J13" s="51" t="s">
        <v>172</v>
      </c>
      <c r="K13" s="51" t="s">
        <v>205</v>
      </c>
      <c r="L13" s="51">
        <v>9</v>
      </c>
      <c r="M13" s="37">
        <f t="shared" si="1"/>
        <v>90</v>
      </c>
      <c r="N13" s="51">
        <v>100</v>
      </c>
      <c r="O13" s="63" t="s">
        <v>246</v>
      </c>
      <c r="P13" s="52">
        <v>5.2900000000000003E-2</v>
      </c>
      <c r="Q13" s="52">
        <f t="shared" ref="Q13" si="3">P13*N13</f>
        <v>5.29</v>
      </c>
      <c r="R13" s="51"/>
      <c r="S13" s="58"/>
    </row>
    <row r="14" spans="1:19" s="61" customFormat="1" x14ac:dyDescent="0.25">
      <c r="A14" s="59"/>
      <c r="B14" s="46">
        <f>ROW(B14) - ROW($B$9)</f>
        <v>5</v>
      </c>
      <c r="C14" s="53" t="s">
        <v>9</v>
      </c>
      <c r="D14" s="37" t="s">
        <v>25</v>
      </c>
      <c r="E14" s="37" t="s">
        <v>66</v>
      </c>
      <c r="F14" s="37" t="s">
        <v>103</v>
      </c>
      <c r="G14" s="37" t="s">
        <v>125</v>
      </c>
      <c r="H14" s="37" t="s">
        <v>152</v>
      </c>
      <c r="I14" s="51" t="s">
        <v>232</v>
      </c>
      <c r="J14" s="37" t="s">
        <v>173</v>
      </c>
      <c r="K14" s="37" t="s">
        <v>206</v>
      </c>
      <c r="L14" s="37">
        <v>1</v>
      </c>
      <c r="M14" s="37">
        <f t="shared" si="1"/>
        <v>10</v>
      </c>
      <c r="N14" s="37">
        <v>100</v>
      </c>
      <c r="O14" s="63" t="s">
        <v>246</v>
      </c>
      <c r="P14" s="38">
        <v>1E-3</v>
      </c>
      <c r="Q14" s="38">
        <f>P14*N14</f>
        <v>0.1</v>
      </c>
      <c r="R14" s="37"/>
      <c r="S14" s="58"/>
    </row>
    <row r="15" spans="1:19" s="61" customFormat="1" x14ac:dyDescent="0.25">
      <c r="A15" s="59"/>
      <c r="B15" s="47">
        <f t="shared" si="0"/>
        <v>6</v>
      </c>
      <c r="C15" s="54" t="s">
        <v>9</v>
      </c>
      <c r="D15" s="51" t="s">
        <v>26</v>
      </c>
      <c r="E15" s="51" t="s">
        <v>67</v>
      </c>
      <c r="F15" s="51" t="s">
        <v>101</v>
      </c>
      <c r="G15" s="51" t="s">
        <v>126</v>
      </c>
      <c r="H15" s="51" t="s">
        <v>152</v>
      </c>
      <c r="I15" s="37" t="s">
        <v>232</v>
      </c>
      <c r="J15" s="51" t="s">
        <v>174</v>
      </c>
      <c r="K15" s="51" t="s">
        <v>207</v>
      </c>
      <c r="L15" s="51">
        <v>3</v>
      </c>
      <c r="M15" s="37">
        <f t="shared" si="1"/>
        <v>30</v>
      </c>
      <c r="N15" s="51">
        <v>100</v>
      </c>
      <c r="O15" s="63" t="s">
        <v>246</v>
      </c>
      <c r="P15" s="52">
        <v>4.7000000000000002E-3</v>
      </c>
      <c r="Q15" s="52">
        <f t="shared" ref="Q15" si="4">P15*N15</f>
        <v>0.47000000000000003</v>
      </c>
      <c r="R15" s="51"/>
      <c r="S15" s="58"/>
    </row>
    <row r="16" spans="1:19" s="61" customFormat="1" ht="36" x14ac:dyDescent="0.25">
      <c r="A16" s="59"/>
      <c r="B16" s="46">
        <f>ROW(B16) - ROW($B$9)</f>
        <v>7</v>
      </c>
      <c r="C16" s="53" t="s">
        <v>9</v>
      </c>
      <c r="D16" s="37" t="s">
        <v>27</v>
      </c>
      <c r="E16" s="37" t="s">
        <v>68</v>
      </c>
      <c r="F16" s="37" t="s">
        <v>234</v>
      </c>
      <c r="G16" s="37" t="s">
        <v>104</v>
      </c>
      <c r="H16" s="37" t="s">
        <v>153</v>
      </c>
      <c r="I16" s="51" t="s">
        <v>232</v>
      </c>
      <c r="J16" s="37" t="s">
        <v>175</v>
      </c>
      <c r="K16" s="37" t="s">
        <v>208</v>
      </c>
      <c r="L16" s="37">
        <v>1</v>
      </c>
      <c r="M16" s="37">
        <f t="shared" si="1"/>
        <v>10</v>
      </c>
      <c r="N16" s="37">
        <v>15</v>
      </c>
      <c r="O16" s="63" t="s">
        <v>246</v>
      </c>
      <c r="P16" s="38">
        <v>7.6999999999999999E-2</v>
      </c>
      <c r="Q16" s="38">
        <f>P16*N16</f>
        <v>1.155</v>
      </c>
      <c r="R16" s="37"/>
      <c r="S16" s="58"/>
    </row>
    <row r="17" spans="1:19" s="61" customFormat="1" ht="36" x14ac:dyDescent="0.25">
      <c r="A17" s="59"/>
      <c r="B17" s="47">
        <f t="shared" si="0"/>
        <v>8</v>
      </c>
      <c r="C17" s="54" t="s">
        <v>9</v>
      </c>
      <c r="D17" s="51" t="s">
        <v>28</v>
      </c>
      <c r="E17" s="51" t="s">
        <v>69</v>
      </c>
      <c r="F17" s="37" t="s">
        <v>234</v>
      </c>
      <c r="G17" s="51" t="s">
        <v>105</v>
      </c>
      <c r="H17" s="51" t="s">
        <v>153</v>
      </c>
      <c r="I17" s="51" t="s">
        <v>232</v>
      </c>
      <c r="J17" s="51" t="s">
        <v>176</v>
      </c>
      <c r="K17" s="51" t="s">
        <v>209</v>
      </c>
      <c r="L17" s="51">
        <v>1</v>
      </c>
      <c r="M17" s="37">
        <f t="shared" si="1"/>
        <v>10</v>
      </c>
      <c r="N17" s="51">
        <v>20</v>
      </c>
      <c r="O17" s="63" t="s">
        <v>246</v>
      </c>
      <c r="P17" s="52">
        <v>4.9099999999999998E-2</v>
      </c>
      <c r="Q17" s="52">
        <f t="shared" ref="Q17" si="5">P17*N17</f>
        <v>0.98199999999999998</v>
      </c>
      <c r="R17" s="51"/>
      <c r="S17" s="58"/>
    </row>
    <row r="18" spans="1:19" s="61" customFormat="1" ht="36" x14ac:dyDescent="0.25">
      <c r="A18" s="59"/>
      <c r="B18" s="46">
        <f>ROW(B18) - ROW($B$9)</f>
        <v>9</v>
      </c>
      <c r="C18" s="53" t="s">
        <v>9</v>
      </c>
      <c r="D18" s="37" t="s">
        <v>29</v>
      </c>
      <c r="E18" s="37" t="s">
        <v>70</v>
      </c>
      <c r="F18" s="37" t="s">
        <v>234</v>
      </c>
      <c r="G18" s="37" t="s">
        <v>106</v>
      </c>
      <c r="H18" s="37" t="s">
        <v>154</v>
      </c>
      <c r="I18" s="37" t="s">
        <v>232</v>
      </c>
      <c r="J18" s="37" t="s">
        <v>177</v>
      </c>
      <c r="K18" s="37" t="s">
        <v>210</v>
      </c>
      <c r="L18" s="37">
        <v>1</v>
      </c>
      <c r="M18" s="37">
        <f t="shared" si="1"/>
        <v>10</v>
      </c>
      <c r="N18" s="37">
        <v>15</v>
      </c>
      <c r="O18" s="63" t="s">
        <v>246</v>
      </c>
      <c r="P18" s="38">
        <v>7.2700000000000001E-2</v>
      </c>
      <c r="Q18" s="38">
        <f>P18*N18</f>
        <v>1.0905</v>
      </c>
      <c r="R18" s="37"/>
      <c r="S18" s="58"/>
    </row>
    <row r="19" spans="1:19" s="61" customFormat="1" x14ac:dyDescent="0.25">
      <c r="A19" s="59"/>
      <c r="B19" s="47">
        <f t="shared" si="0"/>
        <v>10</v>
      </c>
      <c r="C19" s="53" t="s">
        <v>9</v>
      </c>
      <c r="D19" s="51" t="s">
        <v>30</v>
      </c>
      <c r="E19" s="51" t="s">
        <v>71</v>
      </c>
      <c r="F19" s="51" t="s">
        <v>101</v>
      </c>
      <c r="G19" s="51" t="s">
        <v>127</v>
      </c>
      <c r="H19" s="51" t="s">
        <v>152</v>
      </c>
      <c r="I19" s="51" t="s">
        <v>232</v>
      </c>
      <c r="J19" s="51" t="s">
        <v>178</v>
      </c>
      <c r="K19" s="51" t="s">
        <v>211</v>
      </c>
      <c r="L19" s="51">
        <v>1</v>
      </c>
      <c r="M19" s="37">
        <f t="shared" si="1"/>
        <v>10</v>
      </c>
      <c r="N19" s="51">
        <v>100</v>
      </c>
      <c r="O19" s="63" t="s">
        <v>246</v>
      </c>
      <c r="P19" s="52">
        <v>2.5000000000000001E-3</v>
      </c>
      <c r="Q19" s="52">
        <f t="shared" ref="Q19" si="6">P19*N19</f>
        <v>0.25</v>
      </c>
      <c r="R19" s="51"/>
      <c r="S19" s="58"/>
    </row>
    <row r="20" spans="1:19" s="61" customFormat="1" x14ac:dyDescent="0.25">
      <c r="A20" s="59"/>
      <c r="B20" s="46">
        <f>ROW(B20) - ROW($B$9)</f>
        <v>11</v>
      </c>
      <c r="C20" s="53" t="s">
        <v>9</v>
      </c>
      <c r="D20" s="37" t="s">
        <v>31</v>
      </c>
      <c r="E20" s="37" t="s">
        <v>72</v>
      </c>
      <c r="F20" s="37" t="s">
        <v>107</v>
      </c>
      <c r="G20" s="37" t="s">
        <v>128</v>
      </c>
      <c r="H20" s="37" t="s">
        <v>152</v>
      </c>
      <c r="I20" s="51" t="s">
        <v>232</v>
      </c>
      <c r="J20" s="37" t="s">
        <v>179</v>
      </c>
      <c r="K20" s="37" t="s">
        <v>212</v>
      </c>
      <c r="L20" s="37">
        <v>1</v>
      </c>
      <c r="M20" s="37">
        <f t="shared" si="1"/>
        <v>10</v>
      </c>
      <c r="N20" s="37">
        <v>50</v>
      </c>
      <c r="O20" s="63" t="s">
        <v>246</v>
      </c>
      <c r="P20" s="38">
        <v>1.8499999999999999E-2</v>
      </c>
      <c r="Q20" s="38">
        <f>P20*N20</f>
        <v>0.92499999999999993</v>
      </c>
      <c r="R20" s="37"/>
      <c r="S20" s="58"/>
    </row>
    <row r="21" spans="1:19" s="61" customFormat="1" x14ac:dyDescent="0.25">
      <c r="A21" s="59"/>
      <c r="B21" s="47">
        <f t="shared" si="0"/>
        <v>12</v>
      </c>
      <c r="C21" s="54" t="s">
        <v>9</v>
      </c>
      <c r="D21" s="51" t="s">
        <v>32</v>
      </c>
      <c r="E21" s="51" t="s">
        <v>73</v>
      </c>
      <c r="F21" s="51" t="s">
        <v>101</v>
      </c>
      <c r="G21" s="51" t="s">
        <v>129</v>
      </c>
      <c r="H21" s="51" t="s">
        <v>152</v>
      </c>
      <c r="I21" s="37" t="s">
        <v>232</v>
      </c>
      <c r="J21" s="51" t="s">
        <v>180</v>
      </c>
      <c r="K21" s="51" t="s">
        <v>205</v>
      </c>
      <c r="L21" s="51">
        <v>2</v>
      </c>
      <c r="M21" s="37">
        <f t="shared" si="1"/>
        <v>20</v>
      </c>
      <c r="N21" s="51">
        <v>40</v>
      </c>
      <c r="O21" s="63" t="s">
        <v>246</v>
      </c>
      <c r="P21" s="52">
        <v>3.5400000000000001E-2</v>
      </c>
      <c r="Q21" s="52">
        <f t="shared" ref="Q21" si="7">P21*N21</f>
        <v>1.4159999999999999</v>
      </c>
      <c r="R21" s="51"/>
      <c r="S21" s="58"/>
    </row>
    <row r="22" spans="1:19" s="61" customFormat="1" ht="24" x14ac:dyDescent="0.25">
      <c r="A22" s="59"/>
      <c r="B22" s="46">
        <f>ROW(B22) - ROW($B$9)</f>
        <v>13</v>
      </c>
      <c r="C22" s="53" t="s">
        <v>10</v>
      </c>
      <c r="D22" s="37" t="s">
        <v>33</v>
      </c>
      <c r="E22" s="37" t="s">
        <v>74</v>
      </c>
      <c r="F22" s="37" t="s">
        <v>108</v>
      </c>
      <c r="G22" s="37" t="s">
        <v>130</v>
      </c>
      <c r="H22" s="37" t="s">
        <v>155</v>
      </c>
      <c r="I22" s="51" t="s">
        <v>232</v>
      </c>
      <c r="J22" s="37" t="s">
        <v>181</v>
      </c>
      <c r="K22" s="37" t="s">
        <v>232</v>
      </c>
      <c r="L22" s="37">
        <v>1</v>
      </c>
      <c r="M22" s="37">
        <f t="shared" si="1"/>
        <v>10</v>
      </c>
      <c r="N22" s="37">
        <v>20</v>
      </c>
      <c r="O22" s="63" t="s">
        <v>246</v>
      </c>
      <c r="P22" s="38">
        <v>2.0400000000000001E-2</v>
      </c>
      <c r="Q22" s="38">
        <f>P22*N22</f>
        <v>0.40800000000000003</v>
      </c>
      <c r="R22" s="37"/>
      <c r="S22" s="58"/>
    </row>
    <row r="23" spans="1:19" s="61" customFormat="1" ht="24" x14ac:dyDescent="0.25">
      <c r="A23" s="59"/>
      <c r="B23" s="47">
        <f t="shared" si="0"/>
        <v>14</v>
      </c>
      <c r="C23" s="54" t="s">
        <v>11</v>
      </c>
      <c r="D23" s="51" t="s">
        <v>34</v>
      </c>
      <c r="E23" s="51" t="s">
        <v>75</v>
      </c>
      <c r="F23" s="37" t="s">
        <v>234</v>
      </c>
      <c r="G23" s="51" t="s">
        <v>131</v>
      </c>
      <c r="H23" s="51" t="s">
        <v>156</v>
      </c>
      <c r="I23" s="51" t="s">
        <v>232</v>
      </c>
      <c r="J23" s="51" t="s">
        <v>182</v>
      </c>
      <c r="K23" s="51" t="s">
        <v>232</v>
      </c>
      <c r="L23" s="51">
        <v>1</v>
      </c>
      <c r="M23" s="37">
        <f t="shared" si="1"/>
        <v>10</v>
      </c>
      <c r="N23" s="51">
        <v>20</v>
      </c>
      <c r="O23" s="63" t="s">
        <v>246</v>
      </c>
      <c r="P23" s="52">
        <v>3.3700000000000001E-2</v>
      </c>
      <c r="Q23" s="52">
        <f t="shared" ref="Q23" si="8">P23*N23</f>
        <v>0.67400000000000004</v>
      </c>
      <c r="R23" s="51"/>
      <c r="S23" s="58"/>
    </row>
    <row r="24" spans="1:19" s="61" customFormat="1" ht="25.5" x14ac:dyDescent="0.25">
      <c r="A24" s="59"/>
      <c r="B24" s="46">
        <f>ROW(B24) - ROW($B$9)</f>
        <v>15</v>
      </c>
      <c r="C24" s="64" t="s">
        <v>12</v>
      </c>
      <c r="D24" s="65" t="s">
        <v>35</v>
      </c>
      <c r="E24" s="65" t="s">
        <v>76</v>
      </c>
      <c r="F24" s="68" t="s">
        <v>234</v>
      </c>
      <c r="G24" s="65" t="s">
        <v>109</v>
      </c>
      <c r="H24" s="65"/>
      <c r="I24" s="68" t="s">
        <v>232</v>
      </c>
      <c r="J24" s="65" t="s">
        <v>232</v>
      </c>
      <c r="K24" s="65" t="s">
        <v>232</v>
      </c>
      <c r="L24" s="65">
        <v>2</v>
      </c>
      <c r="M24" s="37">
        <f t="shared" si="1"/>
        <v>20</v>
      </c>
      <c r="N24" s="65"/>
      <c r="O24" s="65" t="s">
        <v>232</v>
      </c>
      <c r="P24" s="65"/>
      <c r="Q24" s="66">
        <f>P24*N24</f>
        <v>0</v>
      </c>
      <c r="R24" s="37"/>
      <c r="S24" s="58"/>
    </row>
    <row r="25" spans="1:19" s="61" customFormat="1" ht="24" x14ac:dyDescent="0.25">
      <c r="A25" s="59"/>
      <c r="B25" s="47">
        <f t="shared" si="0"/>
        <v>16</v>
      </c>
      <c r="C25" s="54" t="s">
        <v>13</v>
      </c>
      <c r="D25" s="51" t="s">
        <v>36</v>
      </c>
      <c r="E25" s="51" t="s">
        <v>77</v>
      </c>
      <c r="F25" s="37" t="s">
        <v>234</v>
      </c>
      <c r="G25" s="51" t="s">
        <v>132</v>
      </c>
      <c r="H25" s="51" t="s">
        <v>157</v>
      </c>
      <c r="I25" s="51" t="s">
        <v>232</v>
      </c>
      <c r="J25" s="51" t="s">
        <v>183</v>
      </c>
      <c r="K25" s="51" t="s">
        <v>232</v>
      </c>
      <c r="L25" s="51">
        <v>1</v>
      </c>
      <c r="M25" s="37">
        <f t="shared" si="1"/>
        <v>10</v>
      </c>
      <c r="N25" s="51">
        <v>15</v>
      </c>
      <c r="O25" s="63" t="s">
        <v>246</v>
      </c>
      <c r="P25" s="52">
        <v>0.21590000000000001</v>
      </c>
      <c r="Q25" s="52">
        <f t="shared" ref="Q25" si="9">P25*N25</f>
        <v>3.2385000000000002</v>
      </c>
      <c r="R25" s="51"/>
      <c r="S25" s="58"/>
    </row>
    <row r="26" spans="1:19" s="61" customFormat="1" ht="36" x14ac:dyDescent="0.25">
      <c r="A26" s="59"/>
      <c r="B26" s="46">
        <f>ROW(B26) - ROW($B$9)</f>
        <v>17</v>
      </c>
      <c r="C26" s="53" t="s">
        <v>14</v>
      </c>
      <c r="D26" s="37" t="s">
        <v>37</v>
      </c>
      <c r="E26" s="37" t="s">
        <v>78</v>
      </c>
      <c r="F26" s="37" t="s">
        <v>234</v>
      </c>
      <c r="G26" s="37" t="s">
        <v>110</v>
      </c>
      <c r="H26" s="37"/>
      <c r="I26" s="51" t="s">
        <v>232</v>
      </c>
      <c r="J26" s="37" t="s">
        <v>232</v>
      </c>
      <c r="K26" s="37" t="s">
        <v>232</v>
      </c>
      <c r="L26" s="37">
        <v>1</v>
      </c>
      <c r="M26" s="37">
        <f t="shared" si="1"/>
        <v>10</v>
      </c>
      <c r="N26" s="51" t="s">
        <v>232</v>
      </c>
      <c r="O26" s="51" t="s">
        <v>232</v>
      </c>
      <c r="P26" s="51" t="s">
        <v>232</v>
      </c>
      <c r="Q26" s="38" t="s">
        <v>232</v>
      </c>
      <c r="R26" s="37"/>
      <c r="S26" s="58"/>
    </row>
    <row r="27" spans="1:19" s="61" customFormat="1" ht="25.5" x14ac:dyDescent="0.25">
      <c r="A27" s="59"/>
      <c r="B27" s="47">
        <f t="shared" si="0"/>
        <v>18</v>
      </c>
      <c r="C27" s="64" t="s">
        <v>12</v>
      </c>
      <c r="D27" s="65" t="s">
        <v>38</v>
      </c>
      <c r="E27" s="65" t="s">
        <v>76</v>
      </c>
      <c r="F27" s="68" t="s">
        <v>234</v>
      </c>
      <c r="G27" s="65" t="s">
        <v>109</v>
      </c>
      <c r="H27" s="65"/>
      <c r="I27" s="68" t="s">
        <v>232</v>
      </c>
      <c r="J27" s="65" t="s">
        <v>232</v>
      </c>
      <c r="K27" s="65" t="s">
        <v>232</v>
      </c>
      <c r="L27" s="65">
        <v>1</v>
      </c>
      <c r="M27" s="37">
        <f t="shared" si="1"/>
        <v>10</v>
      </c>
      <c r="N27" s="65" t="s">
        <v>232</v>
      </c>
      <c r="O27" s="65" t="s">
        <v>232</v>
      </c>
      <c r="P27" s="65" t="s">
        <v>232</v>
      </c>
      <c r="Q27" s="66" t="s">
        <v>232</v>
      </c>
      <c r="R27" s="65"/>
      <c r="S27" s="58"/>
    </row>
    <row r="28" spans="1:19" s="61" customFormat="1" ht="25.5" x14ac:dyDescent="0.25">
      <c r="A28" s="59"/>
      <c r="B28" s="46">
        <f>ROW(B28) - ROW($B$9)</f>
        <v>19</v>
      </c>
      <c r="C28" s="69" t="s">
        <v>12</v>
      </c>
      <c r="D28" s="68" t="s">
        <v>39</v>
      </c>
      <c r="E28" s="68" t="s">
        <v>76</v>
      </c>
      <c r="F28" s="68" t="s">
        <v>234</v>
      </c>
      <c r="G28" s="68" t="s">
        <v>109</v>
      </c>
      <c r="H28" s="68"/>
      <c r="I28" s="65" t="s">
        <v>232</v>
      </c>
      <c r="J28" s="68" t="s">
        <v>232</v>
      </c>
      <c r="K28" s="68" t="s">
        <v>232</v>
      </c>
      <c r="L28" s="68">
        <v>1</v>
      </c>
      <c r="M28" s="37">
        <f t="shared" si="1"/>
        <v>10</v>
      </c>
      <c r="N28" s="65" t="s">
        <v>232</v>
      </c>
      <c r="O28" s="65" t="s">
        <v>232</v>
      </c>
      <c r="P28" s="65" t="s">
        <v>232</v>
      </c>
      <c r="Q28" s="70" t="s">
        <v>232</v>
      </c>
      <c r="R28" s="68"/>
      <c r="S28" s="58"/>
    </row>
    <row r="29" spans="1:19" s="61" customFormat="1" ht="36" x14ac:dyDescent="0.25">
      <c r="A29" s="59"/>
      <c r="B29" s="47">
        <f t="shared" si="0"/>
        <v>20</v>
      </c>
      <c r="C29" s="54" t="s">
        <v>15</v>
      </c>
      <c r="D29" s="51" t="s">
        <v>40</v>
      </c>
      <c r="E29" s="51" t="s">
        <v>79</v>
      </c>
      <c r="F29" s="37" t="s">
        <v>234</v>
      </c>
      <c r="G29" s="51" t="s">
        <v>111</v>
      </c>
      <c r="H29" s="51" t="s">
        <v>158</v>
      </c>
      <c r="I29" s="51" t="s">
        <v>232</v>
      </c>
      <c r="J29" s="51" t="s">
        <v>184</v>
      </c>
      <c r="K29" s="51" t="s">
        <v>213</v>
      </c>
      <c r="L29" s="51">
        <v>1</v>
      </c>
      <c r="M29" s="37">
        <f t="shared" si="1"/>
        <v>10</v>
      </c>
      <c r="N29" s="51">
        <v>15</v>
      </c>
      <c r="O29" s="63" t="s">
        <v>246</v>
      </c>
      <c r="P29" s="52">
        <v>0.20610000000000001</v>
      </c>
      <c r="Q29" s="52">
        <f t="shared" ref="Q29" si="10">P29*N29</f>
        <v>3.0914999999999999</v>
      </c>
      <c r="R29" s="51"/>
      <c r="S29" s="58"/>
    </row>
    <row r="30" spans="1:19" s="61" customFormat="1" ht="48" x14ac:dyDescent="0.25">
      <c r="A30" s="59"/>
      <c r="B30" s="46">
        <f>ROW(B30) - ROW($B$9)</f>
        <v>21</v>
      </c>
      <c r="C30" s="53" t="s">
        <v>16</v>
      </c>
      <c r="D30" s="37" t="s">
        <v>41</v>
      </c>
      <c r="E30" s="37" t="s">
        <v>80</v>
      </c>
      <c r="F30" s="37" t="s">
        <v>112</v>
      </c>
      <c r="G30" s="37" t="s">
        <v>133</v>
      </c>
      <c r="H30" s="37" t="s">
        <v>159</v>
      </c>
      <c r="I30" s="37" t="s">
        <v>232</v>
      </c>
      <c r="J30" s="37" t="s">
        <v>185</v>
      </c>
      <c r="K30" s="37" t="s">
        <v>232</v>
      </c>
      <c r="L30" s="37">
        <v>3</v>
      </c>
      <c r="M30" s="37">
        <f t="shared" si="1"/>
        <v>30</v>
      </c>
      <c r="N30" s="37">
        <v>40</v>
      </c>
      <c r="O30" s="63" t="s">
        <v>246</v>
      </c>
      <c r="P30" s="38">
        <v>2.4199999999999999E-2</v>
      </c>
      <c r="Q30" s="38">
        <f>P30*N30</f>
        <v>0.96799999999999997</v>
      </c>
      <c r="R30" s="37"/>
      <c r="S30" s="58"/>
    </row>
    <row r="31" spans="1:19" s="61" customFormat="1" ht="48" x14ac:dyDescent="0.25">
      <c r="A31" s="59"/>
      <c r="B31" s="47">
        <f t="shared" si="0"/>
        <v>22</v>
      </c>
      <c r="C31" s="54" t="s">
        <v>16</v>
      </c>
      <c r="D31" s="51" t="s">
        <v>42</v>
      </c>
      <c r="E31" s="51" t="s">
        <v>81</v>
      </c>
      <c r="F31" s="51" t="s">
        <v>112</v>
      </c>
      <c r="G31" s="51" t="s">
        <v>134</v>
      </c>
      <c r="H31" s="51" t="s">
        <v>160</v>
      </c>
      <c r="I31" s="51" t="s">
        <v>232</v>
      </c>
      <c r="J31" s="51" t="s">
        <v>186</v>
      </c>
      <c r="K31" s="51" t="s">
        <v>232</v>
      </c>
      <c r="L31" s="51">
        <v>1</v>
      </c>
      <c r="M31" s="37">
        <f t="shared" si="1"/>
        <v>10</v>
      </c>
      <c r="N31" s="51">
        <v>20</v>
      </c>
      <c r="O31" s="63" t="s">
        <v>246</v>
      </c>
      <c r="P31" s="52">
        <v>2.6200000000000001E-2</v>
      </c>
      <c r="Q31" s="52">
        <f t="shared" ref="Q31" si="11">P31*N31</f>
        <v>0.52400000000000002</v>
      </c>
      <c r="R31" s="51"/>
      <c r="S31" s="58"/>
    </row>
    <row r="32" spans="1:19" s="61" customFormat="1" ht="48" x14ac:dyDescent="0.25">
      <c r="A32" s="59"/>
      <c r="B32" s="46">
        <f>ROW(B32) - ROW($B$9)</f>
        <v>23</v>
      </c>
      <c r="C32" s="53" t="s">
        <v>16</v>
      </c>
      <c r="D32" s="37" t="s">
        <v>43</v>
      </c>
      <c r="E32" s="37" t="s">
        <v>82</v>
      </c>
      <c r="F32" s="37" t="s">
        <v>112</v>
      </c>
      <c r="G32" s="37" t="s">
        <v>135</v>
      </c>
      <c r="H32" s="37" t="s">
        <v>159</v>
      </c>
      <c r="I32" s="37" t="s">
        <v>232</v>
      </c>
      <c r="J32" s="37" t="s">
        <v>187</v>
      </c>
      <c r="K32" s="37" t="s">
        <v>232</v>
      </c>
      <c r="L32" s="37">
        <v>2</v>
      </c>
      <c r="M32" s="37">
        <f t="shared" si="1"/>
        <v>20</v>
      </c>
      <c r="N32" s="37">
        <v>40</v>
      </c>
      <c r="O32" s="63" t="s">
        <v>246</v>
      </c>
      <c r="P32" s="38">
        <v>2.29E-2</v>
      </c>
      <c r="Q32" s="38">
        <f>P32*N32</f>
        <v>0.91600000000000004</v>
      </c>
      <c r="R32" s="37"/>
      <c r="S32" s="58"/>
    </row>
    <row r="33" spans="1:19" s="61" customFormat="1" x14ac:dyDescent="0.25">
      <c r="A33" s="59"/>
      <c r="B33" s="47">
        <f t="shared" si="0"/>
        <v>24</v>
      </c>
      <c r="C33" s="64" t="s">
        <v>17</v>
      </c>
      <c r="D33" s="65" t="s">
        <v>44</v>
      </c>
      <c r="E33" s="65" t="s">
        <v>83</v>
      </c>
      <c r="F33" s="65" t="s">
        <v>234</v>
      </c>
      <c r="G33" s="65" t="s">
        <v>232</v>
      </c>
      <c r="H33" s="65" t="s">
        <v>232</v>
      </c>
      <c r="I33" s="68" t="s">
        <v>232</v>
      </c>
      <c r="J33" s="65" t="s">
        <v>232</v>
      </c>
      <c r="K33" s="65" t="s">
        <v>232</v>
      </c>
      <c r="L33" s="65">
        <v>1</v>
      </c>
      <c r="M33" s="37">
        <f t="shared" si="1"/>
        <v>10</v>
      </c>
      <c r="N33" s="65" t="s">
        <v>232</v>
      </c>
      <c r="O33" s="65" t="s">
        <v>232</v>
      </c>
      <c r="P33" s="65" t="s">
        <v>232</v>
      </c>
      <c r="Q33" s="66" t="s">
        <v>232</v>
      </c>
      <c r="R33" s="51"/>
      <c r="S33" s="58"/>
    </row>
    <row r="34" spans="1:19" s="61" customFormat="1" ht="36" x14ac:dyDescent="0.25">
      <c r="A34" s="59"/>
      <c r="B34" s="46">
        <f>ROW(B34) - ROW($B$9)</f>
        <v>25</v>
      </c>
      <c r="C34" s="53" t="s">
        <v>9</v>
      </c>
      <c r="D34" s="37" t="s">
        <v>45</v>
      </c>
      <c r="E34" s="37" t="s">
        <v>84</v>
      </c>
      <c r="F34" s="37" t="s">
        <v>113</v>
      </c>
      <c r="G34" s="37" t="s">
        <v>136</v>
      </c>
      <c r="H34" s="37" t="s">
        <v>161</v>
      </c>
      <c r="I34" s="37" t="s">
        <v>232</v>
      </c>
      <c r="J34" s="37" t="s">
        <v>188</v>
      </c>
      <c r="K34" s="37" t="s">
        <v>214</v>
      </c>
      <c r="L34" s="37">
        <v>1</v>
      </c>
      <c r="M34" s="37">
        <f t="shared" si="1"/>
        <v>10</v>
      </c>
      <c r="N34" s="37">
        <v>15</v>
      </c>
      <c r="O34" s="63" t="s">
        <v>246</v>
      </c>
      <c r="P34" s="38">
        <v>8.4400000000000003E-2</v>
      </c>
      <c r="Q34" s="38">
        <f>P34*N34</f>
        <v>1.266</v>
      </c>
      <c r="R34" s="37"/>
      <c r="S34" s="58"/>
    </row>
    <row r="35" spans="1:19" s="61" customFormat="1" ht="24" x14ac:dyDescent="0.25">
      <c r="A35" s="59"/>
      <c r="B35" s="47">
        <f t="shared" si="0"/>
        <v>26</v>
      </c>
      <c r="C35" s="54" t="s">
        <v>18</v>
      </c>
      <c r="D35" s="51" t="s">
        <v>46</v>
      </c>
      <c r="E35" s="51" t="s">
        <v>85</v>
      </c>
      <c r="F35" s="51" t="s">
        <v>114</v>
      </c>
      <c r="G35" s="51" t="s">
        <v>137</v>
      </c>
      <c r="H35" s="51" t="s">
        <v>152</v>
      </c>
      <c r="I35" s="51" t="s">
        <v>232</v>
      </c>
      <c r="J35" s="51" t="s">
        <v>189</v>
      </c>
      <c r="K35" s="51" t="s">
        <v>215</v>
      </c>
      <c r="L35" s="51">
        <v>3</v>
      </c>
      <c r="M35" s="37">
        <f t="shared" si="1"/>
        <v>30</v>
      </c>
      <c r="N35" s="51">
        <v>40</v>
      </c>
      <c r="O35" s="63" t="s">
        <v>246</v>
      </c>
      <c r="P35" s="52">
        <v>2.1600000000000001E-2</v>
      </c>
      <c r="Q35" s="52">
        <f t="shared" ref="Q35" si="12">P35*N35</f>
        <v>0.8640000000000001</v>
      </c>
      <c r="R35" s="51"/>
      <c r="S35" s="58"/>
    </row>
    <row r="36" spans="1:19" s="61" customFormat="1" x14ac:dyDescent="0.25">
      <c r="A36" s="59"/>
      <c r="B36" s="46">
        <f>ROW(B36) - ROW($B$9)</f>
        <v>27</v>
      </c>
      <c r="C36" s="54" t="s">
        <v>18</v>
      </c>
      <c r="D36" s="37" t="s">
        <v>47</v>
      </c>
      <c r="E36" s="37" t="s">
        <v>86</v>
      </c>
      <c r="F36" s="37" t="s">
        <v>114</v>
      </c>
      <c r="G36" s="37" t="s">
        <v>138</v>
      </c>
      <c r="H36" s="37" t="s">
        <v>152</v>
      </c>
      <c r="I36" s="51" t="s">
        <v>232</v>
      </c>
      <c r="J36" s="37" t="s">
        <v>190</v>
      </c>
      <c r="K36" s="37" t="s">
        <v>216</v>
      </c>
      <c r="L36" s="37">
        <v>1</v>
      </c>
      <c r="M36" s="37">
        <f t="shared" si="1"/>
        <v>10</v>
      </c>
      <c r="N36" s="37">
        <v>100</v>
      </c>
      <c r="O36" s="63" t="s">
        <v>246</v>
      </c>
      <c r="P36" s="38">
        <v>1.4E-3</v>
      </c>
      <c r="Q36" s="38">
        <f>P36*N36</f>
        <v>0.13999999999999999</v>
      </c>
      <c r="R36" s="37"/>
      <c r="S36" s="58"/>
    </row>
    <row r="37" spans="1:19" s="61" customFormat="1" ht="24" x14ac:dyDescent="0.25">
      <c r="A37" s="59"/>
      <c r="B37" s="47">
        <f t="shared" si="0"/>
        <v>28</v>
      </c>
      <c r="C37" s="54" t="s">
        <v>18</v>
      </c>
      <c r="D37" s="51" t="s">
        <v>48</v>
      </c>
      <c r="E37" s="51" t="s">
        <v>87</v>
      </c>
      <c r="F37" s="51" t="s">
        <v>114</v>
      </c>
      <c r="G37" s="51" t="s">
        <v>139</v>
      </c>
      <c r="H37" s="51" t="s">
        <v>152</v>
      </c>
      <c r="I37" s="37" t="s">
        <v>232</v>
      </c>
      <c r="J37" s="51" t="s">
        <v>191</v>
      </c>
      <c r="K37" s="51" t="s">
        <v>217</v>
      </c>
      <c r="L37" s="51">
        <v>3</v>
      </c>
      <c r="M37" s="37">
        <f t="shared" si="1"/>
        <v>30</v>
      </c>
      <c r="N37" s="51">
        <v>100</v>
      </c>
      <c r="O37" s="63" t="s">
        <v>246</v>
      </c>
      <c r="P37" s="52">
        <v>1E-3</v>
      </c>
      <c r="Q37" s="52">
        <f t="shared" ref="Q37" si="13">P37*N37</f>
        <v>0.1</v>
      </c>
      <c r="R37" s="51"/>
      <c r="S37" s="58"/>
    </row>
    <row r="38" spans="1:19" s="61" customFormat="1" x14ac:dyDescent="0.25">
      <c r="A38" s="59"/>
      <c r="B38" s="46">
        <f>ROW(B38) - ROW($B$9)</f>
        <v>29</v>
      </c>
      <c r="C38" s="53" t="s">
        <v>18</v>
      </c>
      <c r="D38" s="37" t="s">
        <v>49</v>
      </c>
      <c r="E38" s="37" t="s">
        <v>88</v>
      </c>
      <c r="F38" s="37" t="s">
        <v>114</v>
      </c>
      <c r="G38" s="37" t="s">
        <v>140</v>
      </c>
      <c r="H38" s="37" t="s">
        <v>152</v>
      </c>
      <c r="I38" s="51" t="s">
        <v>232</v>
      </c>
      <c r="J38" s="37" t="s">
        <v>192</v>
      </c>
      <c r="K38" s="37" t="s">
        <v>218</v>
      </c>
      <c r="L38" s="37">
        <v>2</v>
      </c>
      <c r="M38" s="37">
        <f t="shared" si="1"/>
        <v>20</v>
      </c>
      <c r="N38" s="37">
        <v>100</v>
      </c>
      <c r="O38" s="63" t="s">
        <v>246</v>
      </c>
      <c r="P38" s="38">
        <v>1.1000000000000001E-3</v>
      </c>
      <c r="Q38" s="38">
        <f>P38*N38</f>
        <v>0.11</v>
      </c>
      <c r="R38" s="37"/>
      <c r="S38" s="58"/>
    </row>
    <row r="39" spans="1:19" s="61" customFormat="1" ht="24" x14ac:dyDescent="0.25">
      <c r="A39" s="59"/>
      <c r="B39" s="47">
        <f t="shared" si="0"/>
        <v>30</v>
      </c>
      <c r="C39" s="54" t="s">
        <v>18</v>
      </c>
      <c r="D39" s="51" t="s">
        <v>50</v>
      </c>
      <c r="E39" s="51" t="s">
        <v>89</v>
      </c>
      <c r="F39" s="51" t="s">
        <v>114</v>
      </c>
      <c r="G39" s="51" t="s">
        <v>141</v>
      </c>
      <c r="H39" s="51" t="s">
        <v>162</v>
      </c>
      <c r="I39" s="37" t="s">
        <v>232</v>
      </c>
      <c r="J39" s="51" t="s">
        <v>193</v>
      </c>
      <c r="K39" s="51" t="s">
        <v>219</v>
      </c>
      <c r="L39" s="51">
        <v>1</v>
      </c>
      <c r="M39" s="37">
        <f t="shared" si="1"/>
        <v>10</v>
      </c>
      <c r="N39" s="51">
        <v>100</v>
      </c>
      <c r="O39" s="63" t="s">
        <v>246</v>
      </c>
      <c r="P39" s="52">
        <v>1.1999999999999999E-3</v>
      </c>
      <c r="Q39" s="52">
        <f t="shared" ref="Q39" si="14">P39*N39</f>
        <v>0.12</v>
      </c>
      <c r="R39" s="51"/>
      <c r="S39" s="58"/>
    </row>
    <row r="40" spans="1:19" s="61" customFormat="1" ht="24" x14ac:dyDescent="0.25">
      <c r="A40" s="59"/>
      <c r="B40" s="46">
        <f>ROW(B40) - ROW($B$9)</f>
        <v>31</v>
      </c>
      <c r="C40" s="53" t="s">
        <v>18</v>
      </c>
      <c r="D40" s="37" t="s">
        <v>51</v>
      </c>
      <c r="E40" s="37" t="s">
        <v>90</v>
      </c>
      <c r="F40" s="37" t="s">
        <v>114</v>
      </c>
      <c r="G40" s="37" t="s">
        <v>142</v>
      </c>
      <c r="H40" s="37" t="s">
        <v>152</v>
      </c>
      <c r="I40" s="51" t="s">
        <v>232</v>
      </c>
      <c r="J40" s="37" t="s">
        <v>194</v>
      </c>
      <c r="K40" s="37" t="s">
        <v>218</v>
      </c>
      <c r="L40" s="37">
        <v>2</v>
      </c>
      <c r="M40" s="37">
        <f t="shared" si="1"/>
        <v>20</v>
      </c>
      <c r="N40" s="37">
        <v>40</v>
      </c>
      <c r="O40" s="63" t="s">
        <v>246</v>
      </c>
      <c r="P40" s="38">
        <v>2.29E-2</v>
      </c>
      <c r="Q40" s="38">
        <f>P40*N40</f>
        <v>0.91600000000000004</v>
      </c>
      <c r="R40" s="37"/>
      <c r="S40" s="58"/>
    </row>
    <row r="41" spans="1:19" s="61" customFormat="1" ht="24" x14ac:dyDescent="0.25">
      <c r="A41" s="59"/>
      <c r="B41" s="47">
        <f t="shared" si="0"/>
        <v>32</v>
      </c>
      <c r="C41" s="53" t="s">
        <v>18</v>
      </c>
      <c r="D41" s="51" t="s">
        <v>52</v>
      </c>
      <c r="E41" s="51" t="s">
        <v>91</v>
      </c>
      <c r="F41" s="51" t="s">
        <v>114</v>
      </c>
      <c r="G41" s="51" t="s">
        <v>143</v>
      </c>
      <c r="H41" s="51" t="s">
        <v>152</v>
      </c>
      <c r="I41" s="37" t="s">
        <v>232</v>
      </c>
      <c r="J41" s="51" t="s">
        <v>195</v>
      </c>
      <c r="K41" s="51" t="s">
        <v>220</v>
      </c>
      <c r="L41" s="51">
        <v>1</v>
      </c>
      <c r="M41" s="37">
        <f t="shared" si="1"/>
        <v>10</v>
      </c>
      <c r="N41" s="51">
        <v>20</v>
      </c>
      <c r="O41" s="63" t="s">
        <v>246</v>
      </c>
      <c r="P41" s="52">
        <v>2.5700000000000001E-2</v>
      </c>
      <c r="Q41" s="52">
        <f t="shared" ref="Q41" si="15">P41*N41</f>
        <v>0.51400000000000001</v>
      </c>
      <c r="R41" s="51"/>
      <c r="S41" s="58"/>
    </row>
    <row r="42" spans="1:19" s="61" customFormat="1" x14ac:dyDescent="0.25">
      <c r="A42" s="59"/>
      <c r="B42" s="46">
        <f>ROW(B42) - ROW($B$9)</f>
        <v>33</v>
      </c>
      <c r="C42" s="53" t="s">
        <v>18</v>
      </c>
      <c r="D42" s="37" t="s">
        <v>53</v>
      </c>
      <c r="E42" s="37" t="s">
        <v>92</v>
      </c>
      <c r="F42" s="37" t="s">
        <v>114</v>
      </c>
      <c r="G42" s="37" t="s">
        <v>144</v>
      </c>
      <c r="H42" s="37" t="s">
        <v>152</v>
      </c>
      <c r="I42" s="51" t="s">
        <v>232</v>
      </c>
      <c r="J42" s="37" t="s">
        <v>196</v>
      </c>
      <c r="K42" s="37" t="s">
        <v>221</v>
      </c>
      <c r="L42" s="37">
        <v>1</v>
      </c>
      <c r="M42" s="37">
        <f t="shared" si="1"/>
        <v>10</v>
      </c>
      <c r="N42" s="37">
        <v>15</v>
      </c>
      <c r="O42" s="63" t="s">
        <v>246</v>
      </c>
      <c r="P42" s="38">
        <v>0.2535</v>
      </c>
      <c r="Q42" s="38">
        <f>P42*N42</f>
        <v>3.8025000000000002</v>
      </c>
      <c r="R42" s="37"/>
      <c r="S42" s="58"/>
    </row>
    <row r="43" spans="1:19" s="61" customFormat="1" ht="24" x14ac:dyDescent="0.25">
      <c r="A43" s="59"/>
      <c r="B43" s="47">
        <f t="shared" si="0"/>
        <v>34</v>
      </c>
      <c r="C43" s="54" t="s">
        <v>18</v>
      </c>
      <c r="D43" s="51" t="s">
        <v>54</v>
      </c>
      <c r="E43" s="51" t="s">
        <v>93</v>
      </c>
      <c r="F43" s="51" t="s">
        <v>114</v>
      </c>
      <c r="G43" s="51" t="s">
        <v>145</v>
      </c>
      <c r="H43" s="51" t="s">
        <v>152</v>
      </c>
      <c r="I43" s="51" t="s">
        <v>232</v>
      </c>
      <c r="J43" s="51" t="s">
        <v>197</v>
      </c>
      <c r="K43" s="51" t="s">
        <v>217</v>
      </c>
      <c r="L43" s="51">
        <v>1</v>
      </c>
      <c r="M43" s="37">
        <f t="shared" si="1"/>
        <v>10</v>
      </c>
      <c r="N43" s="51">
        <v>100</v>
      </c>
      <c r="O43" s="63" t="s">
        <v>246</v>
      </c>
      <c r="P43" s="52">
        <v>1.1000000000000001E-3</v>
      </c>
      <c r="Q43" s="52">
        <f t="shared" ref="Q43" si="16">P43*N43</f>
        <v>0.11</v>
      </c>
      <c r="R43" s="51"/>
      <c r="S43" s="58"/>
    </row>
    <row r="44" spans="1:19" s="61" customFormat="1" ht="24" x14ac:dyDescent="0.25">
      <c r="A44" s="59"/>
      <c r="B44" s="46">
        <f>ROW(B44) - ROW($B$9)</f>
        <v>35</v>
      </c>
      <c r="C44" s="53" t="s">
        <v>224</v>
      </c>
      <c r="D44" s="37" t="s">
        <v>55</v>
      </c>
      <c r="E44" s="37" t="s">
        <v>94</v>
      </c>
      <c r="F44" s="37" t="s">
        <v>234</v>
      </c>
      <c r="G44" s="37" t="s">
        <v>146</v>
      </c>
      <c r="H44" s="37" t="s">
        <v>163</v>
      </c>
      <c r="I44" s="37" t="s">
        <v>232</v>
      </c>
      <c r="J44" s="37" t="s">
        <v>198</v>
      </c>
      <c r="K44" s="37" t="s">
        <v>232</v>
      </c>
      <c r="L44" s="37">
        <v>1</v>
      </c>
      <c r="M44" s="37">
        <f t="shared" si="1"/>
        <v>10</v>
      </c>
      <c r="N44" s="37">
        <v>11</v>
      </c>
      <c r="O44" s="63" t="s">
        <v>246</v>
      </c>
      <c r="P44" s="38">
        <v>0.53300000000000003</v>
      </c>
      <c r="Q44" s="38">
        <f>P44*N44</f>
        <v>5.8630000000000004</v>
      </c>
      <c r="R44" s="37"/>
      <c r="S44" s="58"/>
    </row>
    <row r="45" spans="1:19" s="61" customFormat="1" ht="48" x14ac:dyDescent="0.25">
      <c r="A45" s="59"/>
      <c r="B45" s="47">
        <f t="shared" si="0"/>
        <v>36</v>
      </c>
      <c r="C45" s="54" t="s">
        <v>19</v>
      </c>
      <c r="D45" s="51" t="s">
        <v>56</v>
      </c>
      <c r="E45" s="51" t="s">
        <v>95</v>
      </c>
      <c r="F45" s="51" t="s">
        <v>115</v>
      </c>
      <c r="G45" s="51" t="s">
        <v>147</v>
      </c>
      <c r="H45" s="51" t="s">
        <v>164</v>
      </c>
      <c r="I45" s="51" t="s">
        <v>232</v>
      </c>
      <c r="J45" s="51"/>
      <c r="K45" s="51" t="s">
        <v>232</v>
      </c>
      <c r="L45" s="51">
        <v>1</v>
      </c>
      <c r="M45" s="37">
        <f t="shared" si="1"/>
        <v>10</v>
      </c>
      <c r="N45" s="51"/>
      <c r="O45" s="51"/>
      <c r="P45" s="52"/>
      <c r="Q45" s="52">
        <f t="shared" ref="Q45" si="17">P45*N45</f>
        <v>0</v>
      </c>
      <c r="R45" s="51"/>
      <c r="S45" s="58"/>
    </row>
    <row r="46" spans="1:19" s="61" customFormat="1" ht="48" x14ac:dyDescent="0.25">
      <c r="A46" s="59"/>
      <c r="B46" s="46">
        <f>ROW(B46) - ROW($B$9)</f>
        <v>37</v>
      </c>
      <c r="C46" s="53" t="s">
        <v>13</v>
      </c>
      <c r="D46" s="37" t="s">
        <v>57</v>
      </c>
      <c r="E46" s="37" t="s">
        <v>96</v>
      </c>
      <c r="F46" s="37" t="s">
        <v>234</v>
      </c>
      <c r="G46" s="37" t="s">
        <v>116</v>
      </c>
      <c r="H46" s="37" t="s">
        <v>165</v>
      </c>
      <c r="I46" s="37" t="s">
        <v>232</v>
      </c>
      <c r="J46" s="37" t="s">
        <v>199</v>
      </c>
      <c r="K46" s="37" t="s">
        <v>232</v>
      </c>
      <c r="L46" s="37">
        <v>1</v>
      </c>
      <c r="M46" s="37">
        <f t="shared" si="1"/>
        <v>10</v>
      </c>
      <c r="N46" s="37">
        <v>11</v>
      </c>
      <c r="O46" s="63" t="s">
        <v>246</v>
      </c>
      <c r="P46" s="38">
        <v>0.3548</v>
      </c>
      <c r="Q46" s="38">
        <f>P46*N46</f>
        <v>3.9028</v>
      </c>
      <c r="R46" s="37"/>
      <c r="S46" s="58"/>
    </row>
    <row r="47" spans="1:19" s="61" customFormat="1" ht="36" x14ac:dyDescent="0.25">
      <c r="A47" s="59"/>
      <c r="B47" s="47">
        <f t="shared" si="0"/>
        <v>38</v>
      </c>
      <c r="C47" s="54" t="s">
        <v>19</v>
      </c>
      <c r="D47" s="51" t="s">
        <v>58</v>
      </c>
      <c r="E47" s="51" t="s">
        <v>97</v>
      </c>
      <c r="F47" s="51" t="s">
        <v>117</v>
      </c>
      <c r="G47" s="51" t="s">
        <v>148</v>
      </c>
      <c r="H47" s="51" t="s">
        <v>166</v>
      </c>
      <c r="I47" s="51" t="s">
        <v>232</v>
      </c>
      <c r="J47" s="51" t="s">
        <v>200</v>
      </c>
      <c r="K47" s="51" t="s">
        <v>232</v>
      </c>
      <c r="L47" s="51">
        <v>2</v>
      </c>
      <c r="M47" s="37">
        <f t="shared" si="1"/>
        <v>20</v>
      </c>
      <c r="N47" s="51">
        <v>30</v>
      </c>
      <c r="O47" s="63" t="s">
        <v>246</v>
      </c>
      <c r="P47" s="52">
        <v>5.6899999999999999E-2</v>
      </c>
      <c r="Q47" s="52">
        <f t="shared" ref="Q47" si="18">P47*N47</f>
        <v>1.7070000000000001</v>
      </c>
      <c r="R47" s="51"/>
      <c r="S47" s="58"/>
    </row>
    <row r="48" spans="1:19" s="61" customFormat="1" ht="24" x14ac:dyDescent="0.25">
      <c r="A48" s="59"/>
      <c r="B48" s="46">
        <f>ROW(B48) - ROW($B$9)</f>
        <v>39</v>
      </c>
      <c r="C48" s="53" t="s">
        <v>19</v>
      </c>
      <c r="D48" s="37" t="s">
        <v>59</v>
      </c>
      <c r="E48" s="37" t="s">
        <v>98</v>
      </c>
      <c r="F48" s="37" t="s">
        <v>118</v>
      </c>
      <c r="G48" s="37" t="s">
        <v>149</v>
      </c>
      <c r="H48" s="37" t="s">
        <v>167</v>
      </c>
      <c r="I48" s="37" t="s">
        <v>232</v>
      </c>
      <c r="J48" s="37" t="s">
        <v>201</v>
      </c>
      <c r="K48" s="37" t="s">
        <v>232</v>
      </c>
      <c r="L48" s="37">
        <v>1</v>
      </c>
      <c r="M48" s="37">
        <f t="shared" si="1"/>
        <v>10</v>
      </c>
      <c r="N48" s="37">
        <v>11</v>
      </c>
      <c r="O48" s="63" t="s">
        <v>246</v>
      </c>
      <c r="P48" s="38">
        <v>1.1089</v>
      </c>
      <c r="Q48" s="38">
        <f>P48*N48</f>
        <v>12.197900000000001</v>
      </c>
      <c r="R48" s="37"/>
      <c r="S48" s="58"/>
    </row>
    <row r="49" spans="1:19" s="61" customFormat="1" ht="24.75" thickBot="1" x14ac:dyDescent="0.3">
      <c r="A49" s="59"/>
      <c r="B49" s="47">
        <f t="shared" si="0"/>
        <v>40</v>
      </c>
      <c r="C49" s="54" t="s">
        <v>19</v>
      </c>
      <c r="D49" s="51" t="s">
        <v>60</v>
      </c>
      <c r="E49" s="51" t="s">
        <v>99</v>
      </c>
      <c r="F49" s="51" t="s">
        <v>119</v>
      </c>
      <c r="G49" s="51" t="s">
        <v>150</v>
      </c>
      <c r="H49" s="51" t="s">
        <v>168</v>
      </c>
      <c r="I49" s="51" t="s">
        <v>232</v>
      </c>
      <c r="J49" s="51" t="s">
        <v>237</v>
      </c>
      <c r="K49" s="51" t="s">
        <v>232</v>
      </c>
      <c r="L49" s="51">
        <v>1</v>
      </c>
      <c r="M49" s="37">
        <f t="shared" si="1"/>
        <v>10</v>
      </c>
      <c r="N49" s="51">
        <v>11</v>
      </c>
      <c r="O49" s="63" t="s">
        <v>246</v>
      </c>
      <c r="P49" s="52">
        <v>0.40550000000000003</v>
      </c>
      <c r="Q49" s="52">
        <f t="shared" ref="Q49:Q55" si="19">P49*N49</f>
        <v>4.4605000000000006</v>
      </c>
      <c r="R49" s="71" t="s">
        <v>249</v>
      </c>
      <c r="S49" s="39"/>
    </row>
    <row r="50" spans="1:19" s="61" customFormat="1" ht="60" x14ac:dyDescent="0.25">
      <c r="A50" s="59"/>
      <c r="B50" s="47">
        <f t="shared" si="0"/>
        <v>41</v>
      </c>
      <c r="C50" s="82" t="s">
        <v>250</v>
      </c>
      <c r="D50" s="83" t="s">
        <v>232</v>
      </c>
      <c r="E50" s="83" t="s">
        <v>254</v>
      </c>
      <c r="F50" s="83" t="s">
        <v>232</v>
      </c>
      <c r="G50" s="83" t="s">
        <v>251</v>
      </c>
      <c r="H50" s="83" t="s">
        <v>232</v>
      </c>
      <c r="I50" s="83" t="s">
        <v>232</v>
      </c>
      <c r="J50" s="83" t="s">
        <v>232</v>
      </c>
      <c r="K50" s="83" t="s">
        <v>232</v>
      </c>
      <c r="L50" s="83">
        <v>1</v>
      </c>
      <c r="M50" s="84">
        <f t="shared" si="1"/>
        <v>10</v>
      </c>
      <c r="N50" s="83">
        <v>10</v>
      </c>
      <c r="O50" s="85" t="s">
        <v>253</v>
      </c>
      <c r="P50" s="86">
        <v>7.89</v>
      </c>
      <c r="Q50" s="86">
        <f t="shared" si="19"/>
        <v>78.899999999999991</v>
      </c>
      <c r="R50" s="87"/>
      <c r="S50" s="88"/>
    </row>
    <row r="51" spans="1:19" x14ac:dyDescent="0.25">
      <c r="A51" s="1"/>
      <c r="B51" s="47">
        <f t="shared" si="0"/>
        <v>42</v>
      </c>
      <c r="C51" s="82" t="s">
        <v>250</v>
      </c>
      <c r="D51" s="83" t="s">
        <v>258</v>
      </c>
      <c r="E51" s="83" t="s">
        <v>257</v>
      </c>
      <c r="F51" s="83" t="s">
        <v>232</v>
      </c>
      <c r="G51" s="83" t="s">
        <v>259</v>
      </c>
      <c r="H51" s="83" t="s">
        <v>232</v>
      </c>
      <c r="I51" s="83" t="s">
        <v>232</v>
      </c>
      <c r="J51" s="83" t="s">
        <v>266</v>
      </c>
      <c r="K51" s="83" t="s">
        <v>232</v>
      </c>
      <c r="L51" s="83">
        <v>1</v>
      </c>
      <c r="M51" s="84">
        <f t="shared" si="1"/>
        <v>10</v>
      </c>
      <c r="N51" s="83">
        <v>11</v>
      </c>
      <c r="O51" s="85" t="s">
        <v>246</v>
      </c>
      <c r="P51" s="86">
        <v>0.3962</v>
      </c>
      <c r="Q51" s="86">
        <f t="shared" si="19"/>
        <v>4.3582000000000001</v>
      </c>
      <c r="R51" s="87"/>
      <c r="S51" s="88"/>
    </row>
    <row r="52" spans="1:19" ht="24" x14ac:dyDescent="0.25">
      <c r="A52" s="1"/>
      <c r="B52" s="47">
        <f t="shared" si="0"/>
        <v>43</v>
      </c>
      <c r="C52" s="82" t="s">
        <v>250</v>
      </c>
      <c r="D52" s="83" t="s">
        <v>258</v>
      </c>
      <c r="E52" s="83" t="s">
        <v>260</v>
      </c>
      <c r="F52" s="83" t="s">
        <v>232</v>
      </c>
      <c r="G52" s="83" t="s">
        <v>232</v>
      </c>
      <c r="H52" s="83" t="s">
        <v>232</v>
      </c>
      <c r="I52" s="83" t="s">
        <v>232</v>
      </c>
      <c r="J52" s="83" t="s">
        <v>232</v>
      </c>
      <c r="K52" s="83" t="s">
        <v>232</v>
      </c>
      <c r="L52" s="83">
        <v>1</v>
      </c>
      <c r="M52" s="84">
        <f t="shared" si="1"/>
        <v>10</v>
      </c>
      <c r="N52" s="83"/>
      <c r="O52" s="85"/>
      <c r="P52" s="86"/>
      <c r="Q52" s="86">
        <f t="shared" si="19"/>
        <v>0</v>
      </c>
      <c r="R52" s="87" t="s">
        <v>262</v>
      </c>
      <c r="S52" s="88"/>
    </row>
    <row r="53" spans="1:19" ht="24" x14ac:dyDescent="0.25">
      <c r="A53" s="1"/>
      <c r="B53" s="47">
        <f t="shared" si="0"/>
        <v>44</v>
      </c>
      <c r="C53" s="82" t="s">
        <v>250</v>
      </c>
      <c r="D53" s="83" t="s">
        <v>258</v>
      </c>
      <c r="E53" s="83" t="s">
        <v>261</v>
      </c>
      <c r="F53" s="83" t="s">
        <v>232</v>
      </c>
      <c r="G53" s="83" t="s">
        <v>232</v>
      </c>
      <c r="H53" s="83" t="s">
        <v>232</v>
      </c>
      <c r="I53" s="83" t="s">
        <v>232</v>
      </c>
      <c r="J53" s="83" t="s">
        <v>232</v>
      </c>
      <c r="K53" s="83" t="s">
        <v>232</v>
      </c>
      <c r="L53" s="83">
        <v>1</v>
      </c>
      <c r="M53" s="84">
        <f t="shared" si="1"/>
        <v>10</v>
      </c>
      <c r="N53" s="83"/>
      <c r="O53" s="85"/>
      <c r="P53" s="86"/>
      <c r="Q53" s="86">
        <f t="shared" si="19"/>
        <v>0</v>
      </c>
      <c r="R53" s="87" t="s">
        <v>262</v>
      </c>
      <c r="S53" s="88"/>
    </row>
    <row r="54" spans="1:19" ht="48" x14ac:dyDescent="0.25">
      <c r="A54" s="1"/>
      <c r="B54" s="47">
        <f t="shared" si="0"/>
        <v>45</v>
      </c>
      <c r="C54" s="82" t="s">
        <v>250</v>
      </c>
      <c r="D54" s="83" t="s">
        <v>255</v>
      </c>
      <c r="E54" s="83" t="s">
        <v>256</v>
      </c>
      <c r="F54" s="83" t="s">
        <v>232</v>
      </c>
      <c r="G54" s="83" t="s">
        <v>232</v>
      </c>
      <c r="H54" s="83" t="s">
        <v>232</v>
      </c>
      <c r="I54" s="83" t="s">
        <v>232</v>
      </c>
      <c r="J54" s="83" t="s">
        <v>232</v>
      </c>
      <c r="K54" s="83" t="s">
        <v>232</v>
      </c>
      <c r="L54" s="83">
        <v>1</v>
      </c>
      <c r="M54" s="84">
        <f t="shared" si="1"/>
        <v>10</v>
      </c>
      <c r="N54" s="83">
        <v>10</v>
      </c>
      <c r="O54" s="85" t="s">
        <v>253</v>
      </c>
      <c r="P54" s="86">
        <v>35.64</v>
      </c>
      <c r="Q54" s="86">
        <f t="shared" si="19"/>
        <v>356.4</v>
      </c>
      <c r="R54" s="87"/>
      <c r="S54" s="88"/>
    </row>
    <row r="55" spans="1:19" ht="15.75" thickBot="1" x14ac:dyDescent="0.3">
      <c r="A55" s="1"/>
      <c r="B55" s="47">
        <f t="shared" si="0"/>
        <v>46</v>
      </c>
      <c r="C55" s="82" t="s">
        <v>250</v>
      </c>
      <c r="D55" s="83" t="s">
        <v>263</v>
      </c>
      <c r="E55" s="83" t="s">
        <v>264</v>
      </c>
      <c r="F55" s="83" t="s">
        <v>232</v>
      </c>
      <c r="G55" s="83" t="s">
        <v>265</v>
      </c>
      <c r="H55" s="83" t="s">
        <v>232</v>
      </c>
      <c r="I55" s="83" t="s">
        <v>232</v>
      </c>
      <c r="J55" s="83" t="s">
        <v>267</v>
      </c>
      <c r="K55" s="83" t="s">
        <v>232</v>
      </c>
      <c r="L55" s="83">
        <v>2</v>
      </c>
      <c r="M55" s="84">
        <f t="shared" si="1"/>
        <v>20</v>
      </c>
      <c r="N55" s="83">
        <v>25</v>
      </c>
      <c r="O55" s="85" t="s">
        <v>246</v>
      </c>
      <c r="P55" s="86">
        <v>8.4199999999999997E-2</v>
      </c>
      <c r="Q55" s="86">
        <f t="shared" si="19"/>
        <v>2.105</v>
      </c>
      <c r="R55" s="87"/>
      <c r="S55" s="88"/>
    </row>
    <row r="56" spans="1:19" ht="19.5" thickBot="1" x14ac:dyDescent="0.3">
      <c r="A56" s="1"/>
      <c r="B56" s="40"/>
      <c r="C56" s="41"/>
      <c r="D56" s="42"/>
      <c r="E56" s="43"/>
      <c r="F56" s="44"/>
      <c r="G56" s="45"/>
      <c r="H56" s="44"/>
      <c r="I56" s="45"/>
      <c r="J56" s="44"/>
      <c r="K56" s="45"/>
      <c r="L56" s="45"/>
      <c r="M56" s="45"/>
      <c r="N56" s="76" t="s">
        <v>5</v>
      </c>
      <c r="O56" s="77"/>
      <c r="P56" s="77"/>
      <c r="Q56" s="48">
        <f>SUM(Q10:Q55)</f>
        <v>503.92790000000002</v>
      </c>
      <c r="R56" s="78"/>
      <c r="S56" s="79"/>
    </row>
    <row r="57" spans="1:19" ht="19.5" thickBot="1" x14ac:dyDescent="0.3">
      <c r="A57" s="1"/>
      <c r="B57" s="25"/>
      <c r="C57" s="36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76" t="s">
        <v>6</v>
      </c>
      <c r="O57" s="77"/>
      <c r="P57" s="77"/>
      <c r="Q57" s="49">
        <f>Q56/10</f>
        <v>50.392790000000005</v>
      </c>
      <c r="R57" s="80"/>
      <c r="S57" s="81"/>
    </row>
  </sheetData>
  <mergeCells count="5">
    <mergeCell ref="K1:S1"/>
    <mergeCell ref="S3:S8"/>
    <mergeCell ref="N56:P56"/>
    <mergeCell ref="R56:S57"/>
    <mergeCell ref="N57:P57"/>
  </mergeCells>
  <hyperlinks>
    <hyperlink ref="O10" r:id="rId1"/>
    <hyperlink ref="O12" r:id="rId2"/>
    <hyperlink ref="O13" r:id="rId3"/>
    <hyperlink ref="O14" r:id="rId4"/>
    <hyperlink ref="O15" r:id="rId5"/>
    <hyperlink ref="O16" r:id="rId6"/>
    <hyperlink ref="O17" r:id="rId7"/>
    <hyperlink ref="O18" r:id="rId8"/>
    <hyperlink ref="O19" r:id="rId9"/>
    <hyperlink ref="O20" r:id="rId10"/>
    <hyperlink ref="O21" r:id="rId11"/>
    <hyperlink ref="O22" r:id="rId12"/>
    <hyperlink ref="O23" r:id="rId13"/>
    <hyperlink ref="O25" r:id="rId14"/>
    <hyperlink ref="O29" r:id="rId15"/>
    <hyperlink ref="O30" r:id="rId16"/>
    <hyperlink ref="O31" r:id="rId17"/>
    <hyperlink ref="O32" r:id="rId18"/>
    <hyperlink ref="O34" r:id="rId19"/>
    <hyperlink ref="O35" r:id="rId20"/>
    <hyperlink ref="O36" r:id="rId21"/>
    <hyperlink ref="O37" r:id="rId22"/>
    <hyperlink ref="O38" r:id="rId23"/>
    <hyperlink ref="O39" r:id="rId24"/>
    <hyperlink ref="O40" r:id="rId25"/>
    <hyperlink ref="O41" r:id="rId26"/>
    <hyperlink ref="O42" r:id="rId27"/>
    <hyperlink ref="O43" r:id="rId28"/>
    <hyperlink ref="O44" r:id="rId29"/>
    <hyperlink ref="O46" r:id="rId30"/>
    <hyperlink ref="O47" r:id="rId31"/>
    <hyperlink ref="O48" r:id="rId32"/>
    <hyperlink ref="O11" r:id="rId33"/>
    <hyperlink ref="O49" r:id="rId34"/>
    <hyperlink ref="O50" r:id="rId35"/>
    <hyperlink ref="O54" r:id="rId36"/>
    <hyperlink ref="O51" r:id="rId37"/>
    <hyperlink ref="O55" r:id="rId38"/>
  </hyperlinks>
  <pageMargins left="0.7" right="0.7" top="0.75" bottom="0.75" header="0.3" footer="0.3"/>
  <pageSetup orientation="portrait" r:id="rId39"/>
  <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 Boards</vt:lpstr>
      <vt:lpstr>5 Boards</vt:lpstr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2023-05-12T15:01:48Z</dcterms:modified>
</cp:coreProperties>
</file>